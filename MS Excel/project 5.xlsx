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13_ncr:1_{B5BF93E1-E17C-432A-830E-FCA96E79F3D7}" xr6:coauthVersionLast="47" xr6:coauthVersionMax="47" xr10:uidLastSave="{00000000-0000-0000-0000-000000000000}"/>
  <bookViews>
    <workbookView xWindow="-108" yWindow="-108" windowWidth="23256" windowHeight="13176" firstSheet="2" activeTab="5" xr2:uid="{BAE34F67-00EF-4BF4-A5F8-CE81169BA2BF}"/>
  </bookViews>
  <sheets>
    <sheet name="Sheet1" sheetId="1" r:id="rId1"/>
    <sheet name="Basic Part 1" sheetId="2" r:id="rId2"/>
    <sheet name="DATE&amp;TIME" sheetId="3" r:id="rId3"/>
    <sheet name="Text function" sheetId="4" r:id="rId4"/>
    <sheet name="averag&amp;if" sheetId="5" r:id="rId5"/>
    <sheet name="VLOOKUP,HLOOKUP,INDEX,MATCH,DGE" sheetId="6" r:id="rId6"/>
  </sheets>
  <definedNames>
    <definedName name="_xlnm._FilterDatabase" localSheetId="4" hidden="1">'averag&amp;if'!$A$1:$B$25</definedName>
    <definedName name="_xlnm._FilterDatabase" localSheetId="5" hidden="1">'VLOOKUP,HLOOKUP,INDEX,MATCH,DGE'!$E$2:$E$7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6" l="1"/>
  <c r="O16" i="6"/>
  <c r="O17" i="6"/>
  <c r="K21" i="6"/>
  <c r="J21" i="6"/>
  <c r="P23" i="6"/>
  <c r="O23" i="6"/>
  <c r="Q21" i="6"/>
  <c r="I21" i="6"/>
  <c r="P21" i="6"/>
  <c r="O21" i="6"/>
  <c r="H17" i="6"/>
  <c r="H16" i="6"/>
  <c r="I13" i="6"/>
  <c r="E13" i="6"/>
  <c r="I12" i="6"/>
  <c r="O13" i="6"/>
  <c r="C12" i="6"/>
  <c r="D12" i="6"/>
  <c r="E12" i="6"/>
  <c r="B12" i="6"/>
  <c r="P12" i="6"/>
  <c r="O12" i="6"/>
  <c r="C21" i="6"/>
  <c r="D21" i="6"/>
  <c r="E21" i="6"/>
  <c r="B21" i="6"/>
  <c r="B17" i="6"/>
  <c r="C17" i="6" s="1"/>
  <c r="D17" i="6" s="1"/>
  <c r="E17" i="6" s="1"/>
  <c r="C11" i="6"/>
  <c r="D11" i="6"/>
  <c r="E11" i="6"/>
  <c r="B11" i="6"/>
  <c r="G17" i="5"/>
  <c r="G18" i="5"/>
  <c r="G19" i="5"/>
  <c r="G20" i="5"/>
  <c r="G21" i="5"/>
  <c r="G22" i="5"/>
  <c r="G23" i="5"/>
  <c r="G16" i="5"/>
  <c r="S6" i="5"/>
  <c r="S7" i="5"/>
  <c r="S3" i="5"/>
  <c r="S4" i="5"/>
  <c r="S5" i="5"/>
  <c r="S2" i="5"/>
  <c r="P3" i="5"/>
  <c r="P4" i="5"/>
  <c r="P5" i="5"/>
  <c r="P6" i="5"/>
  <c r="P7" i="5"/>
  <c r="P2" i="5"/>
  <c r="M6" i="5"/>
  <c r="M7" i="5"/>
  <c r="M3" i="5"/>
  <c r="M4" i="5"/>
  <c r="M5" i="5"/>
  <c r="M2" i="5"/>
  <c r="J7" i="5"/>
  <c r="J2" i="5"/>
  <c r="J3" i="5"/>
  <c r="J4" i="5"/>
  <c r="J5" i="5"/>
  <c r="J6" i="5"/>
  <c r="C14" i="5"/>
  <c r="C3" i="5"/>
  <c r="C4" i="5"/>
  <c r="C5" i="5"/>
  <c r="C6" i="5"/>
  <c r="C7" i="5"/>
  <c r="C8" i="5"/>
  <c r="C9" i="5"/>
  <c r="C10" i="5"/>
  <c r="C11" i="5"/>
  <c r="C12" i="5"/>
  <c r="C13" i="5"/>
  <c r="C15" i="5"/>
  <c r="C16" i="5"/>
  <c r="C17" i="5"/>
  <c r="C18" i="5"/>
  <c r="C19" i="5"/>
  <c r="C20" i="5"/>
  <c r="C21" i="5"/>
  <c r="C22" i="5"/>
  <c r="C23" i="5"/>
  <c r="C24" i="5"/>
  <c r="C25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" i="5"/>
  <c r="M13" i="3"/>
  <c r="M14" i="3"/>
  <c r="J13" i="3"/>
  <c r="J14" i="3"/>
  <c r="G13" i="3"/>
  <c r="G14" i="3"/>
  <c r="M12" i="3"/>
  <c r="J12" i="3"/>
  <c r="G12" i="3"/>
  <c r="D13" i="3"/>
  <c r="D14" i="3"/>
  <c r="D12" i="3"/>
  <c r="S4" i="3"/>
  <c r="S5" i="3"/>
  <c r="P4" i="3"/>
  <c r="P5" i="3"/>
  <c r="M4" i="3"/>
  <c r="M5" i="3"/>
  <c r="S3" i="3"/>
  <c r="P3" i="3"/>
  <c r="M3" i="3"/>
  <c r="J5" i="3"/>
  <c r="J6" i="3"/>
  <c r="J4" i="3"/>
  <c r="D3" i="3"/>
  <c r="A3" i="3"/>
  <c r="Q16" i="2" a="1"/>
  <c r="Q16" i="2" s="1"/>
  <c r="M16" i="2" a="1"/>
  <c r="M16" i="2" s="1"/>
  <c r="J18" i="2"/>
  <c r="J17" i="2"/>
  <c r="J16" i="2"/>
  <c r="K8" i="2"/>
  <c r="J8" i="2"/>
  <c r="K9" i="2" s="1"/>
  <c r="E22" i="2"/>
  <c r="D21" i="2"/>
  <c r="B16" i="2" a="1"/>
  <c r="B16" i="2" s="1"/>
  <c r="B21" i="2" s="1"/>
  <c r="P5" i="2"/>
  <c r="P6" i="2"/>
  <c r="P7" i="2"/>
  <c r="P8" i="2"/>
  <c r="P4" i="2"/>
  <c r="L4" i="2" a="1"/>
  <c r="L4" i="2" s="1"/>
  <c r="L8" i="2" s="1"/>
  <c r="E4" i="2" a="1"/>
  <c r="E4" i="2" s="1"/>
  <c r="B11" i="2"/>
  <c r="B10" i="2"/>
  <c r="B6" i="2"/>
  <c r="B5" i="2"/>
  <c r="H4" i="2" a="1"/>
  <c r="H4" i="2" s="1"/>
  <c r="H12" i="2" s="1"/>
  <c r="B7" i="2"/>
  <c r="B8" i="2"/>
  <c r="B9" i="2"/>
  <c r="B4" i="2"/>
  <c r="B12" i="2" s="1"/>
  <c r="B25" i="1"/>
  <c r="F14" i="1"/>
  <c r="E14" i="1"/>
  <c r="E18" i="1"/>
  <c r="E13" i="1"/>
  <c r="D14" i="1"/>
  <c r="D15" i="1"/>
  <c r="E15" i="1" s="1"/>
  <c r="F15" i="1" s="1"/>
  <c r="D16" i="1"/>
  <c r="D17" i="1"/>
  <c r="D18" i="1"/>
  <c r="F18" i="1" s="1"/>
  <c r="D19" i="1"/>
  <c r="D20" i="1"/>
  <c r="D21" i="1"/>
  <c r="E21" i="1" s="1"/>
  <c r="D13" i="1"/>
  <c r="F19" i="1" l="1"/>
  <c r="B28" i="1"/>
  <c r="F13" i="1"/>
  <c r="E20" i="1"/>
  <c r="F20" i="1" s="1"/>
  <c r="F21" i="1"/>
  <c r="E19" i="1"/>
  <c r="B26" i="1"/>
  <c r="B27" i="1"/>
  <c r="E17" i="1"/>
  <c r="F17" i="1" s="1"/>
  <c r="E16" i="1"/>
  <c r="F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<sst xmlns="http://schemas.openxmlformats.org/spreadsheetml/2006/main" count="194" uniqueCount="105">
  <si>
    <t>Item Name</t>
  </si>
  <si>
    <t>Qty</t>
  </si>
  <si>
    <t>Amount</t>
  </si>
  <si>
    <t>GST</t>
  </si>
  <si>
    <t>Total Amount</t>
  </si>
  <si>
    <r>
      <rPr>
        <b/>
        <sz val="18"/>
        <color theme="3" tint="9.9978637043366805E-2"/>
        <rFont val="Aptos Narrow"/>
        <family val="2"/>
        <scheme val="minor"/>
      </rPr>
      <t>Raj kashyap Copration</t>
    </r>
    <r>
      <rPr>
        <sz val="11"/>
        <color theme="1"/>
        <rFont val="Aptos Narrow"/>
        <family val="2"/>
        <scheme val="minor"/>
      </rPr>
      <t xml:space="preserve">
ADD:Kasba, kolkata,700039| Contact No. +91 9852035157
</t>
    </r>
    <r>
      <rPr>
        <b/>
        <sz val="11"/>
        <color rgb="FFFF0000"/>
        <rFont val="Aptos Narrow"/>
        <family val="2"/>
        <scheme val="minor"/>
      </rPr>
      <t>GSTIN: 09AZOPA8456J1Z8</t>
    </r>
  </si>
  <si>
    <t>To,</t>
  </si>
  <si>
    <t>Raj Kashyap</t>
  </si>
  <si>
    <t>Motihari</t>
  </si>
  <si>
    <t>DATE:</t>
  </si>
  <si>
    <t>Laptop</t>
  </si>
  <si>
    <t>Mouse</t>
  </si>
  <si>
    <t>Joy Stick</t>
  </si>
  <si>
    <t>Intel GPU</t>
  </si>
  <si>
    <t>Keyboard</t>
  </si>
  <si>
    <t>Ram 16 GB</t>
  </si>
  <si>
    <t>SSD 512GB</t>
  </si>
  <si>
    <t>SMPS 450W</t>
  </si>
  <si>
    <t>Asus Motherborad</t>
  </si>
  <si>
    <t>Rate</t>
  </si>
  <si>
    <t>Sub Total</t>
  </si>
  <si>
    <t>SGTS 9%</t>
  </si>
  <si>
    <t>CGST 9%</t>
  </si>
  <si>
    <t>EVEN</t>
  </si>
  <si>
    <t>Number</t>
  </si>
  <si>
    <t>Result</t>
  </si>
  <si>
    <t>Fact</t>
  </si>
  <si>
    <t>ODD</t>
  </si>
  <si>
    <t>Power</t>
  </si>
  <si>
    <t>ctrl+ shift +v</t>
  </si>
  <si>
    <t>Roman</t>
  </si>
  <si>
    <t>SQRT</t>
  </si>
  <si>
    <t>NUMBER</t>
  </si>
  <si>
    <t>RESULT</t>
  </si>
  <si>
    <t>SUM</t>
  </si>
  <si>
    <t xml:space="preserve"> </t>
  </si>
  <si>
    <t>SUMIF</t>
  </si>
  <si>
    <t>COURSE</t>
  </si>
  <si>
    <t>DICPA</t>
  </si>
  <si>
    <t>O-LEVEL</t>
  </si>
  <si>
    <t>ADCA</t>
  </si>
  <si>
    <t>DIPCA</t>
  </si>
  <si>
    <t>FEE'S</t>
  </si>
  <si>
    <t>TOTAL</t>
  </si>
  <si>
    <t>INTEGER</t>
  </si>
  <si>
    <t>MOD</t>
  </si>
  <si>
    <t>DIVISOR</t>
  </si>
  <si>
    <t>REMINDER</t>
  </si>
  <si>
    <t>TODAY</t>
  </si>
  <si>
    <t>DATE</t>
  </si>
  <si>
    <t>DAY</t>
  </si>
  <si>
    <t>MONTH</t>
  </si>
  <si>
    <t>YEAR</t>
  </si>
  <si>
    <t>TIME</t>
  </si>
  <si>
    <t>HOUR</t>
  </si>
  <si>
    <t>MINUTES</t>
  </si>
  <si>
    <t>SECOND</t>
  </si>
  <si>
    <t>NOW</t>
  </si>
  <si>
    <t>month</t>
  </si>
  <si>
    <t>year</t>
  </si>
  <si>
    <t>day</t>
  </si>
  <si>
    <t>Average</t>
  </si>
  <si>
    <t>AverageA</t>
  </si>
  <si>
    <t>n</t>
  </si>
  <si>
    <t>na</t>
  </si>
  <si>
    <t>COUNT</t>
  </si>
  <si>
    <t>COUNTA</t>
  </si>
  <si>
    <t>COUNTBLANK</t>
  </si>
  <si>
    <t>COUNTIF</t>
  </si>
  <si>
    <t>MODE</t>
  </si>
  <si>
    <t>STU.ID</t>
  </si>
  <si>
    <t>NAME</t>
  </si>
  <si>
    <t>AGE</t>
  </si>
  <si>
    <t>BT</t>
  </si>
  <si>
    <t>S1</t>
  </si>
  <si>
    <t>S2</t>
  </si>
  <si>
    <t>S3</t>
  </si>
  <si>
    <t>S4</t>
  </si>
  <si>
    <t>S5</t>
  </si>
  <si>
    <t>S6</t>
  </si>
  <si>
    <t>ARVID</t>
  </si>
  <si>
    <t>RAHUL</t>
  </si>
  <si>
    <t>SURESH</t>
  </si>
  <si>
    <t>RAMESH</t>
  </si>
  <si>
    <t>HARSH</t>
  </si>
  <si>
    <t>RAJ</t>
  </si>
  <si>
    <t>O1</t>
  </si>
  <si>
    <t>O2</t>
  </si>
  <si>
    <t>O3</t>
  </si>
  <si>
    <t>O4</t>
  </si>
  <si>
    <t>O5</t>
  </si>
  <si>
    <t>O6</t>
  </si>
  <si>
    <t>8 TO 10</t>
  </si>
  <si>
    <t>10 TO 11</t>
  </si>
  <si>
    <t>9 TO 10</t>
  </si>
  <si>
    <t>11 TO 11</t>
  </si>
  <si>
    <t>10 TO 10</t>
  </si>
  <si>
    <t>12 TO 11</t>
  </si>
  <si>
    <t>SALE JAN</t>
  </si>
  <si>
    <t>SALE FEB</t>
  </si>
  <si>
    <t>SALE MARCH</t>
  </si>
  <si>
    <t>VLOOKUP</t>
  </si>
  <si>
    <t>VLOOKUP WITH MATCH</t>
  </si>
  <si>
    <t>HLOOKUP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</si>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</sst>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/>
    <xf numFmtId="14" fontId="0" fillId="0" borderId="0" xfId="0" applyNumberFormat="1"/>
    <xf numFmtId="0" fontId="0" fillId="0" borderId="0" xfId="0" applyAlignment="1">
      <alignment horizontal="left" indent="6"/>
    </xf>
    <xf numFmtId="0" fontId="0" fillId="0" borderId="1" xfId="0" applyBorder="1"/>
    <xf numFmtId="0" fontId="0" fillId="0" borderId="2" xfId="0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quotePrefix="1"/>
    <xf numFmtId="2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0" fillId="0" borderId="0" xfId="0" applyNumberFormat="1"/>
    <xf numFmtId="18" fontId="0" fillId="0" borderId="0" xfId="0" applyNumberFormat="1"/>
    <xf numFmtId="0" fontId="6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A6F3-0C72-42E3-AC6B-932E0A5E9965}">
  <dimension ref="A2:I46"/>
  <sheetViews>
    <sheetView topLeftCell="A2" zoomScale="65" workbookViewId="0">
      <selection activeCell="F13" sqref="F13:F21"/>
    </sheetView>
  </sheetViews>
  <sheetFormatPr defaultRowHeight="14.4" x14ac:dyDescent="0.3"/>
  <cols>
    <col min="1" max="1" width="15.77734375" bestFit="1" customWidth="1"/>
    <col min="2" max="2" width="7.44140625" bestFit="1" customWidth="1"/>
    <col min="3" max="3" width="6.33203125" bestFit="1" customWidth="1"/>
    <col min="4" max="4" width="7.44140625" bestFit="1" customWidth="1"/>
    <col min="5" max="5" width="11.6640625" bestFit="1" customWidth="1"/>
    <col min="6" max="6" width="11.88671875" bestFit="1" customWidth="1"/>
  </cols>
  <sheetData>
    <row r="2" spans="1:7" x14ac:dyDescent="0.3">
      <c r="A2" s="10" t="s">
        <v>5</v>
      </c>
      <c r="B2" s="11"/>
      <c r="C2" s="11"/>
      <c r="D2" s="11"/>
      <c r="E2" s="11"/>
      <c r="F2" s="11"/>
      <c r="G2" s="11"/>
    </row>
    <row r="3" spans="1:7" x14ac:dyDescent="0.3">
      <c r="A3" s="11"/>
      <c r="B3" s="11"/>
      <c r="C3" s="11"/>
      <c r="D3" s="11"/>
      <c r="E3" s="11"/>
      <c r="F3" s="11"/>
      <c r="G3" s="11"/>
    </row>
    <row r="4" spans="1:7" x14ac:dyDescent="0.3">
      <c r="A4" s="11"/>
      <c r="B4" s="11"/>
      <c r="C4" s="11"/>
      <c r="D4" s="11"/>
      <c r="E4" s="11"/>
      <c r="F4" s="11"/>
      <c r="G4" s="11"/>
    </row>
    <row r="5" spans="1:7" x14ac:dyDescent="0.3">
      <c r="A5" s="11"/>
      <c r="B5" s="11"/>
      <c r="C5" s="11"/>
      <c r="D5" s="11"/>
      <c r="E5" s="11"/>
      <c r="F5" s="11"/>
      <c r="G5" s="11"/>
    </row>
    <row r="7" spans="1:7" x14ac:dyDescent="0.3">
      <c r="A7" t="s">
        <v>6</v>
      </c>
      <c r="D7" t="s">
        <v>9</v>
      </c>
      <c r="E7" s="2">
        <v>45737</v>
      </c>
    </row>
    <row r="8" spans="1:7" x14ac:dyDescent="0.3">
      <c r="A8" t="s">
        <v>7</v>
      </c>
    </row>
    <row r="9" spans="1:7" x14ac:dyDescent="0.3">
      <c r="A9" t="s">
        <v>8</v>
      </c>
    </row>
    <row r="10" spans="1:7" x14ac:dyDescent="0.3">
      <c r="A10">
        <v>8554</v>
      </c>
    </row>
    <row r="12" spans="1:7" x14ac:dyDescent="0.3">
      <c r="A12" s="1" t="s">
        <v>0</v>
      </c>
      <c r="B12" s="1" t="s">
        <v>1</v>
      </c>
      <c r="C12" s="1" t="s">
        <v>19</v>
      </c>
      <c r="D12" s="1" t="s">
        <v>2</v>
      </c>
      <c r="E12" s="1" t="s">
        <v>3</v>
      </c>
      <c r="F12" s="1" t="s">
        <v>4</v>
      </c>
    </row>
    <row r="13" spans="1:7" x14ac:dyDescent="0.3">
      <c r="A13" s="4" t="s">
        <v>10</v>
      </c>
      <c r="B13">
        <v>2</v>
      </c>
      <c r="C13" s="4">
        <v>2500</v>
      </c>
      <c r="D13" s="5">
        <f>B13*C13</f>
        <v>5000</v>
      </c>
      <c r="E13" s="5">
        <f>D13*18/100</f>
        <v>900</v>
      </c>
      <c r="F13" s="5">
        <f>D13+E13</f>
        <v>5900</v>
      </c>
    </row>
    <row r="14" spans="1:7" x14ac:dyDescent="0.3">
      <c r="A14" s="4" t="s">
        <v>11</v>
      </c>
      <c r="B14">
        <v>5</v>
      </c>
      <c r="C14" s="4">
        <v>3500</v>
      </c>
      <c r="D14" s="5">
        <f t="shared" ref="D14:D21" si="0">B14*C14</f>
        <v>17500</v>
      </c>
      <c r="E14" s="5">
        <f t="shared" ref="E14:E21" si="1">D14*18/100</f>
        <v>3150</v>
      </c>
      <c r="F14" s="5">
        <f t="shared" ref="F14:F21" si="2">D14+E14</f>
        <v>20650</v>
      </c>
    </row>
    <row r="15" spans="1:7" x14ac:dyDescent="0.3">
      <c r="A15" s="4" t="s">
        <v>12</v>
      </c>
      <c r="B15">
        <v>4</v>
      </c>
      <c r="C15" s="4">
        <v>7000</v>
      </c>
      <c r="D15" s="5">
        <f t="shared" si="0"/>
        <v>28000</v>
      </c>
      <c r="E15" s="5">
        <f t="shared" si="1"/>
        <v>5040</v>
      </c>
      <c r="F15" s="5">
        <f t="shared" si="2"/>
        <v>33040</v>
      </c>
    </row>
    <row r="16" spans="1:7" x14ac:dyDescent="0.3">
      <c r="A16" s="4" t="s">
        <v>13</v>
      </c>
      <c r="B16">
        <v>9</v>
      </c>
      <c r="C16" s="4">
        <v>3000</v>
      </c>
      <c r="D16" s="5">
        <f t="shared" si="0"/>
        <v>27000</v>
      </c>
      <c r="E16" s="5">
        <f t="shared" si="1"/>
        <v>4860</v>
      </c>
      <c r="F16" s="5">
        <f t="shared" si="2"/>
        <v>31860</v>
      </c>
    </row>
    <row r="17" spans="1:6" x14ac:dyDescent="0.3">
      <c r="A17" s="4" t="s">
        <v>14</v>
      </c>
      <c r="B17">
        <v>8</v>
      </c>
      <c r="C17" s="4">
        <v>45123</v>
      </c>
      <c r="D17" s="5">
        <f t="shared" si="0"/>
        <v>360984</v>
      </c>
      <c r="E17" s="5">
        <f t="shared" si="1"/>
        <v>64977.120000000003</v>
      </c>
      <c r="F17" s="5">
        <f t="shared" si="2"/>
        <v>425961.12</v>
      </c>
    </row>
    <row r="18" spans="1:6" x14ac:dyDescent="0.3">
      <c r="A18" s="4" t="s">
        <v>15</v>
      </c>
      <c r="B18">
        <v>7</v>
      </c>
      <c r="C18" s="4">
        <v>465</v>
      </c>
      <c r="D18" s="5">
        <f t="shared" si="0"/>
        <v>3255</v>
      </c>
      <c r="E18" s="5">
        <f t="shared" si="1"/>
        <v>585.9</v>
      </c>
      <c r="F18" s="5">
        <f t="shared" si="2"/>
        <v>3840.9</v>
      </c>
    </row>
    <row r="19" spans="1:6" x14ac:dyDescent="0.3">
      <c r="A19" s="4" t="s">
        <v>16</v>
      </c>
      <c r="B19">
        <v>3</v>
      </c>
      <c r="C19" s="4">
        <v>258</v>
      </c>
      <c r="D19" s="5">
        <f t="shared" si="0"/>
        <v>774</v>
      </c>
      <c r="E19" s="5">
        <f t="shared" si="1"/>
        <v>139.32</v>
      </c>
      <c r="F19" s="5">
        <f t="shared" si="2"/>
        <v>913.31999999999994</v>
      </c>
    </row>
    <row r="20" spans="1:6" x14ac:dyDescent="0.3">
      <c r="A20" s="4" t="s">
        <v>17</v>
      </c>
      <c r="B20">
        <v>1</v>
      </c>
      <c r="C20" s="4">
        <v>300</v>
      </c>
      <c r="D20" s="5">
        <f t="shared" si="0"/>
        <v>300</v>
      </c>
      <c r="E20" s="5">
        <f t="shared" si="1"/>
        <v>54</v>
      </c>
      <c r="F20" s="5">
        <f t="shared" si="2"/>
        <v>354</v>
      </c>
    </row>
    <row r="21" spans="1:6" x14ac:dyDescent="0.3">
      <c r="A21" s="4" t="s">
        <v>18</v>
      </c>
      <c r="B21">
        <v>4</v>
      </c>
      <c r="C21" s="4">
        <v>450</v>
      </c>
      <c r="D21" s="5">
        <f t="shared" si="0"/>
        <v>1800</v>
      </c>
      <c r="E21" s="5">
        <f t="shared" si="1"/>
        <v>324</v>
      </c>
      <c r="F21" s="5">
        <f t="shared" si="2"/>
        <v>2124</v>
      </c>
    </row>
    <row r="25" spans="1:6" x14ac:dyDescent="0.3">
      <c r="A25" s="3" t="s">
        <v>20</v>
      </c>
      <c r="B25">
        <f>SUM(D13:D21)</f>
        <v>444613</v>
      </c>
    </row>
    <row r="26" spans="1:6" x14ac:dyDescent="0.3">
      <c r="A26" t="s">
        <v>21</v>
      </c>
      <c r="B26">
        <f>B25*9/100</f>
        <v>40015.17</v>
      </c>
    </row>
    <row r="27" spans="1:6" x14ac:dyDescent="0.3">
      <c r="A27" t="s">
        <v>22</v>
      </c>
      <c r="B27">
        <f>B25*9/100</f>
        <v>40015.17</v>
      </c>
    </row>
    <row r="28" spans="1:6" x14ac:dyDescent="0.3">
      <c r="A28" t="s">
        <v>4</v>
      </c>
      <c r="B28">
        <f>SUM(B25:B27)</f>
        <v>524643.34</v>
      </c>
    </row>
    <row r="39" spans="1:9" x14ac:dyDescent="0.3">
      <c r="A39" s="11"/>
      <c r="B39" s="11"/>
      <c r="C39" s="11"/>
    </row>
    <row r="40" spans="1:9" x14ac:dyDescent="0.3">
      <c r="A40" s="11"/>
      <c r="B40" s="11"/>
      <c r="C40" s="11"/>
    </row>
    <row r="41" spans="1:9" x14ac:dyDescent="0.3">
      <c r="A41" s="11"/>
      <c r="B41" s="11"/>
      <c r="C41" s="11"/>
      <c r="G41" s="11"/>
      <c r="H41" s="11"/>
      <c r="I41" s="11"/>
    </row>
    <row r="42" spans="1:9" x14ac:dyDescent="0.3">
      <c r="A42" s="11"/>
      <c r="B42" s="11"/>
      <c r="C42" s="11"/>
      <c r="G42" s="11"/>
      <c r="H42" s="11"/>
      <c r="I42" s="11"/>
    </row>
    <row r="43" spans="1:9" x14ac:dyDescent="0.3">
      <c r="A43" s="11"/>
      <c r="B43" s="11"/>
      <c r="C43" s="11"/>
      <c r="G43" s="11"/>
      <c r="H43" s="11"/>
      <c r="I43" s="11"/>
    </row>
    <row r="44" spans="1:9" x14ac:dyDescent="0.3">
      <c r="A44" s="11"/>
      <c r="B44" s="11"/>
      <c r="C44" s="11"/>
      <c r="G44" s="11"/>
      <c r="H44" s="11"/>
      <c r="I44" s="11"/>
    </row>
    <row r="45" spans="1:9" x14ac:dyDescent="0.3">
      <c r="A45" s="11"/>
      <c r="B45" s="11"/>
      <c r="C45" s="11"/>
      <c r="G45" s="11"/>
      <c r="H45" s="11"/>
      <c r="I45" s="11"/>
    </row>
    <row r="46" spans="1:9" x14ac:dyDescent="0.3">
      <c r="A46" s="11"/>
      <c r="B46" s="11"/>
      <c r="C46" s="11"/>
      <c r="G46" s="11"/>
      <c r="H46" s="11"/>
      <c r="I46" s="11"/>
    </row>
  </sheetData>
  <mergeCells count="3">
    <mergeCell ref="A2:G5"/>
    <mergeCell ref="A39:C46"/>
    <mergeCell ref="G41:I46"/>
  </mergeCells>
  <pageMargins left="0.70866141732283472" right="0.70866141732283472" top="0.19685039370078741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822E-1E81-495B-A50E-0821ED1B1166}">
  <dimension ref="A2:Q24"/>
  <sheetViews>
    <sheetView zoomScale="63" workbookViewId="0">
      <selection activeCell="L14" sqref="L14:M14"/>
    </sheetView>
  </sheetViews>
  <sheetFormatPr defaultRowHeight="14.4" x14ac:dyDescent="0.3"/>
  <cols>
    <col min="12" max="12" width="12.109375" bestFit="1" customWidth="1"/>
  </cols>
  <sheetData>
    <row r="2" spans="1:17" x14ac:dyDescent="0.3">
      <c r="A2" s="12" t="s">
        <v>23</v>
      </c>
      <c r="B2" s="12"/>
      <c r="D2" s="12" t="s">
        <v>26</v>
      </c>
      <c r="E2" s="13"/>
      <c r="G2" s="12" t="s">
        <v>27</v>
      </c>
      <c r="H2" s="13"/>
      <c r="J2" s="12" t="s">
        <v>28</v>
      </c>
      <c r="K2" s="12"/>
      <c r="L2" s="12"/>
      <c r="M2" s="12"/>
      <c r="O2" s="12" t="s">
        <v>30</v>
      </c>
      <c r="P2" s="13"/>
    </row>
    <row r="3" spans="1:17" x14ac:dyDescent="0.3">
      <c r="A3" t="s">
        <v>24</v>
      </c>
      <c r="B3" t="s">
        <v>25</v>
      </c>
      <c r="D3" t="s">
        <v>24</v>
      </c>
      <c r="E3" t="s">
        <v>25</v>
      </c>
      <c r="G3" t="s">
        <v>24</v>
      </c>
      <c r="H3" t="s">
        <v>25</v>
      </c>
      <c r="J3" t="s">
        <v>24</v>
      </c>
      <c r="K3" t="s">
        <v>28</v>
      </c>
      <c r="L3" t="s">
        <v>25</v>
      </c>
      <c r="O3" t="s">
        <v>24</v>
      </c>
      <c r="P3" t="s">
        <v>25</v>
      </c>
    </row>
    <row r="4" spans="1:17" x14ac:dyDescent="0.3">
      <c r="A4">
        <v>8</v>
      </c>
      <c r="B4">
        <f>EVEN(A4)</f>
        <v>8</v>
      </c>
      <c r="D4">
        <v>7</v>
      </c>
      <c r="E4" cm="1">
        <f t="array" ref="E4:E11">FACT(D4:D11)</f>
        <v>5040</v>
      </c>
      <c r="G4">
        <v>8</v>
      </c>
      <c r="H4" cm="1">
        <f t="array" ref="H4:H11">ODD(G4:G11)</f>
        <v>9</v>
      </c>
      <c r="J4">
        <v>5</v>
      </c>
      <c r="K4">
        <v>3</v>
      </c>
      <c r="L4" cm="1">
        <f t="array" ref="L4:L7">POWER(J4:J7,K4:K7)</f>
        <v>125</v>
      </c>
      <c r="O4">
        <v>1</v>
      </c>
      <c r="P4" t="str">
        <f>ROMAN(O4,)</f>
        <v>I</v>
      </c>
    </row>
    <row r="5" spans="1:17" x14ac:dyDescent="0.3">
      <c r="A5">
        <v>6</v>
      </c>
      <c r="B5">
        <f t="shared" ref="B5:B11" si="0">EVEN(A5)</f>
        <v>6</v>
      </c>
      <c r="D5">
        <v>6</v>
      </c>
      <c r="E5">
        <v>720</v>
      </c>
      <c r="G5">
        <v>10</v>
      </c>
      <c r="H5">
        <v>11</v>
      </c>
      <c r="J5">
        <v>4</v>
      </c>
      <c r="K5">
        <v>2</v>
      </c>
      <c r="L5">
        <v>16</v>
      </c>
      <c r="O5">
        <v>5</v>
      </c>
      <c r="P5" t="str">
        <f t="shared" ref="P5:P8" si="1">ROMAN(O5,)</f>
        <v>V</v>
      </c>
    </row>
    <row r="6" spans="1:17" x14ac:dyDescent="0.3">
      <c r="A6">
        <v>110</v>
      </c>
      <c r="B6">
        <f t="shared" si="0"/>
        <v>110</v>
      </c>
      <c r="D6">
        <v>5</v>
      </c>
      <c r="E6">
        <v>120</v>
      </c>
      <c r="G6">
        <v>12</v>
      </c>
      <c r="H6">
        <v>13</v>
      </c>
      <c r="J6">
        <v>3</v>
      </c>
      <c r="K6">
        <v>6</v>
      </c>
      <c r="L6">
        <v>729</v>
      </c>
      <c r="O6">
        <v>69</v>
      </c>
      <c r="P6" t="str">
        <f t="shared" si="1"/>
        <v>LXIX</v>
      </c>
    </row>
    <row r="7" spans="1:17" x14ac:dyDescent="0.3">
      <c r="A7">
        <v>10</v>
      </c>
      <c r="B7">
        <f t="shared" si="0"/>
        <v>10</v>
      </c>
      <c r="D7">
        <v>4</v>
      </c>
      <c r="E7">
        <v>24</v>
      </c>
      <c r="G7">
        <v>14</v>
      </c>
      <c r="H7">
        <v>15</v>
      </c>
      <c r="J7">
        <v>6</v>
      </c>
      <c r="K7">
        <v>4</v>
      </c>
      <c r="L7">
        <v>1296</v>
      </c>
      <c r="O7">
        <v>8</v>
      </c>
      <c r="P7" t="str">
        <f t="shared" si="1"/>
        <v>VIII</v>
      </c>
    </row>
    <row r="8" spans="1:17" x14ac:dyDescent="0.3">
      <c r="A8">
        <v>10</v>
      </c>
      <c r="B8">
        <f t="shared" si="0"/>
        <v>10</v>
      </c>
      <c r="D8">
        <v>3</v>
      </c>
      <c r="E8">
        <v>6</v>
      </c>
      <c r="G8">
        <v>16</v>
      </c>
      <c r="H8">
        <v>17</v>
      </c>
      <c r="J8">
        <f>SUM(J4:J7)</f>
        <v>18</v>
      </c>
      <c r="K8">
        <f>SUM(K4:K7)</f>
        <v>15</v>
      </c>
      <c r="L8">
        <f>SUM(L4:L7)</f>
        <v>2166</v>
      </c>
      <c r="O8">
        <v>40</v>
      </c>
      <c r="P8" t="str">
        <f t="shared" si="1"/>
        <v>XL</v>
      </c>
    </row>
    <row r="9" spans="1:17" x14ac:dyDescent="0.3">
      <c r="A9">
        <v>16</v>
      </c>
      <c r="B9">
        <f t="shared" si="0"/>
        <v>16</v>
      </c>
      <c r="D9">
        <v>2</v>
      </c>
      <c r="E9">
        <v>2</v>
      </c>
      <c r="G9">
        <v>18</v>
      </c>
      <c r="H9">
        <v>19</v>
      </c>
      <c r="K9">
        <f>SUM(J8,K8)</f>
        <v>33</v>
      </c>
    </row>
    <row r="10" spans="1:17" x14ac:dyDescent="0.3">
      <c r="A10">
        <v>14</v>
      </c>
      <c r="B10">
        <f t="shared" si="0"/>
        <v>14</v>
      </c>
      <c r="D10">
        <v>1</v>
      </c>
      <c r="E10">
        <v>1</v>
      </c>
      <c r="G10">
        <v>20</v>
      </c>
      <c r="H10">
        <v>21</v>
      </c>
    </row>
    <row r="11" spans="1:17" x14ac:dyDescent="0.3">
      <c r="A11">
        <v>4</v>
      </c>
      <c r="B11">
        <f t="shared" si="0"/>
        <v>4</v>
      </c>
      <c r="D11">
        <v>0</v>
      </c>
      <c r="E11">
        <v>1</v>
      </c>
      <c r="G11">
        <v>22</v>
      </c>
      <c r="H11">
        <v>23</v>
      </c>
      <c r="J11" s="8"/>
    </row>
    <row r="12" spans="1:17" x14ac:dyDescent="0.3">
      <c r="A12" t="s">
        <v>29</v>
      </c>
      <c r="B12">
        <f>SUM(B4:B11)</f>
        <v>178</v>
      </c>
      <c r="H12">
        <f>SUM(H4:H11)</f>
        <v>128</v>
      </c>
    </row>
    <row r="14" spans="1:17" x14ac:dyDescent="0.3">
      <c r="A14" s="12" t="s">
        <v>31</v>
      </c>
      <c r="B14" s="12"/>
      <c r="D14" s="12" t="s">
        <v>34</v>
      </c>
      <c r="E14" s="12"/>
      <c r="G14" s="12" t="s">
        <v>36</v>
      </c>
      <c r="H14" s="12"/>
      <c r="I14" s="6"/>
      <c r="J14" s="6" t="s">
        <v>33</v>
      </c>
      <c r="L14" s="12" t="s">
        <v>44</v>
      </c>
      <c r="M14" s="13"/>
      <c r="O14" s="12" t="s">
        <v>45</v>
      </c>
      <c r="P14" s="13"/>
    </row>
    <row r="15" spans="1:17" x14ac:dyDescent="0.3">
      <c r="A15" t="s">
        <v>32</v>
      </c>
      <c r="B15" t="s">
        <v>33</v>
      </c>
      <c r="D15" t="s">
        <v>32</v>
      </c>
      <c r="E15" t="s">
        <v>32</v>
      </c>
      <c r="G15" t="s">
        <v>37</v>
      </c>
      <c r="H15" t="s">
        <v>42</v>
      </c>
      <c r="I15" t="s">
        <v>37</v>
      </c>
      <c r="J15" t="s">
        <v>43</v>
      </c>
      <c r="L15" t="s">
        <v>24</v>
      </c>
      <c r="M15" t="s">
        <v>25</v>
      </c>
      <c r="O15" t="s">
        <v>32</v>
      </c>
      <c r="P15" t="s">
        <v>46</v>
      </c>
      <c r="Q15" t="s">
        <v>47</v>
      </c>
    </row>
    <row r="16" spans="1:17" x14ac:dyDescent="0.3">
      <c r="A16">
        <v>54</v>
      </c>
      <c r="B16" cm="1">
        <f t="array" ref="B16:B20">SQRT(A16:A20)</f>
        <v>7.3484692283495345</v>
      </c>
      <c r="D16">
        <v>54</v>
      </c>
      <c r="E16">
        <v>102</v>
      </c>
      <c r="G16" t="s">
        <v>38</v>
      </c>
      <c r="H16">
        <v>3000</v>
      </c>
      <c r="I16" t="s">
        <v>38</v>
      </c>
      <c r="J16">
        <f>SUMIF(G16:G24,I16,H16:H24)</f>
        <v>4500</v>
      </c>
      <c r="L16">
        <v>54.8</v>
      </c>
      <c r="M16" cm="1">
        <f t="array" ref="M16:M19">INT(L16:L19)</f>
        <v>54</v>
      </c>
      <c r="O16">
        <v>45</v>
      </c>
      <c r="P16">
        <v>2</v>
      </c>
      <c r="Q16" cm="1">
        <f t="array" ref="Q16:Q20">MOD(O16:O20,P16:P20)</f>
        <v>1</v>
      </c>
    </row>
    <row r="17" spans="1:17" x14ac:dyDescent="0.3">
      <c r="A17">
        <v>63</v>
      </c>
      <c r="B17">
        <v>7.9372539331937721</v>
      </c>
      <c r="D17">
        <v>63</v>
      </c>
      <c r="E17">
        <v>1005</v>
      </c>
      <c r="G17" t="s">
        <v>39</v>
      </c>
      <c r="H17">
        <v>4500</v>
      </c>
      <c r="I17" t="s">
        <v>39</v>
      </c>
      <c r="J17">
        <f>SUMIF(G17:G25,I17,H17:H25)</f>
        <v>9000</v>
      </c>
      <c r="L17">
        <v>60.32</v>
      </c>
      <c r="M17">
        <v>60</v>
      </c>
      <c r="O17">
        <v>63</v>
      </c>
      <c r="P17">
        <v>6</v>
      </c>
      <c r="Q17">
        <v>3</v>
      </c>
    </row>
    <row r="18" spans="1:17" x14ac:dyDescent="0.3">
      <c r="A18">
        <v>52</v>
      </c>
      <c r="B18">
        <v>7.2111025509279782</v>
      </c>
      <c r="D18">
        <v>52</v>
      </c>
      <c r="E18">
        <v>406</v>
      </c>
      <c r="G18" t="s">
        <v>40</v>
      </c>
      <c r="H18">
        <v>2000</v>
      </c>
      <c r="I18" t="s">
        <v>40</v>
      </c>
      <c r="J18">
        <f>SUMIF(G18:G26,I18,H18:H26)</f>
        <v>5500</v>
      </c>
      <c r="L18">
        <v>50.64</v>
      </c>
      <c r="M18">
        <v>50</v>
      </c>
      <c r="O18">
        <v>56</v>
      </c>
      <c r="P18">
        <v>3</v>
      </c>
      <c r="Q18">
        <v>2</v>
      </c>
    </row>
    <row r="19" spans="1:17" x14ac:dyDescent="0.3">
      <c r="A19">
        <v>92</v>
      </c>
      <c r="B19">
        <v>9.5916630466254382</v>
      </c>
      <c r="D19">
        <v>92</v>
      </c>
      <c r="E19">
        <v>445</v>
      </c>
      <c r="G19" t="s">
        <v>41</v>
      </c>
      <c r="H19">
        <v>1500</v>
      </c>
      <c r="L19">
        <v>80.599999999999994</v>
      </c>
      <c r="M19">
        <v>80</v>
      </c>
      <c r="O19">
        <v>95</v>
      </c>
      <c r="P19">
        <v>5</v>
      </c>
      <c r="Q19">
        <v>0</v>
      </c>
    </row>
    <row r="20" spans="1:17" x14ac:dyDescent="0.3">
      <c r="A20">
        <v>52</v>
      </c>
      <c r="B20">
        <v>7.2111025509279782</v>
      </c>
      <c r="D20">
        <v>52</v>
      </c>
      <c r="E20">
        <v>868</v>
      </c>
      <c r="G20" t="s">
        <v>39</v>
      </c>
      <c r="H20">
        <v>2500</v>
      </c>
      <c r="O20">
        <v>12</v>
      </c>
      <c r="P20">
        <v>4</v>
      </c>
      <c r="Q20">
        <v>0</v>
      </c>
    </row>
    <row r="21" spans="1:17" x14ac:dyDescent="0.3">
      <c r="B21">
        <f>SUM(B16:B20)</f>
        <v>39.299591310024695</v>
      </c>
      <c r="C21" t="s">
        <v>33</v>
      </c>
      <c r="D21">
        <f>SUM(D16:D20)</f>
        <v>313</v>
      </c>
      <c r="E21" t="s">
        <v>35</v>
      </c>
      <c r="G21" t="s">
        <v>40</v>
      </c>
      <c r="H21">
        <v>1000</v>
      </c>
    </row>
    <row r="22" spans="1:17" x14ac:dyDescent="0.3">
      <c r="E22">
        <f>SUM(E16:E20)</f>
        <v>2826</v>
      </c>
      <c r="G22" t="s">
        <v>38</v>
      </c>
      <c r="H22">
        <v>1500</v>
      </c>
    </row>
    <row r="23" spans="1:17" x14ac:dyDescent="0.3">
      <c r="G23" t="s">
        <v>39</v>
      </c>
      <c r="H23">
        <v>2000</v>
      </c>
    </row>
    <row r="24" spans="1:17" x14ac:dyDescent="0.3">
      <c r="G24" t="s">
        <v>40</v>
      </c>
      <c r="H24">
        <v>2500</v>
      </c>
    </row>
  </sheetData>
  <mergeCells count="11">
    <mergeCell ref="O2:P2"/>
    <mergeCell ref="A2:B2"/>
    <mergeCell ref="D2:E2"/>
    <mergeCell ref="G2:H2"/>
    <mergeCell ref="J2:K2"/>
    <mergeCell ref="L2:M2"/>
    <mergeCell ref="A14:B14"/>
    <mergeCell ref="D14:E14"/>
    <mergeCell ref="G14:H14"/>
    <mergeCell ref="L14:M14"/>
    <mergeCell ref="O14:P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5C01-31A1-499E-87EF-56F0ABEE9D3E}">
  <dimension ref="A2:S20"/>
  <sheetViews>
    <sheetView zoomScale="63" workbookViewId="0">
      <selection activeCell="A2" sqref="A2:B2"/>
    </sheetView>
  </sheetViews>
  <sheetFormatPr defaultRowHeight="14.4" x14ac:dyDescent="0.3"/>
  <cols>
    <col min="1" max="1" width="10.33203125" bestFit="1" customWidth="1"/>
    <col min="4" max="4" width="15.33203125" bestFit="1" customWidth="1"/>
    <col min="10" max="10" width="16" bestFit="1" customWidth="1"/>
    <col min="12" max="13" width="14.88671875" bestFit="1" customWidth="1"/>
    <col min="15" max="15" width="16" bestFit="1" customWidth="1"/>
    <col min="16" max="16" width="14.88671875" bestFit="1" customWidth="1"/>
    <col min="17" max="17" width="10.33203125" bestFit="1" customWidth="1"/>
    <col min="18" max="18" width="16" bestFit="1" customWidth="1"/>
  </cols>
  <sheetData>
    <row r="2" spans="1:19" x14ac:dyDescent="0.3">
      <c r="A2" s="12" t="s">
        <v>48</v>
      </c>
      <c r="B2" s="13"/>
      <c r="D2" s="12" t="s">
        <v>57</v>
      </c>
      <c r="E2" s="13"/>
      <c r="G2" s="12" t="s">
        <v>49</v>
      </c>
      <c r="H2" s="13"/>
      <c r="L2" s="12" t="s">
        <v>50</v>
      </c>
      <c r="M2" s="13"/>
      <c r="O2" s="12" t="s">
        <v>51</v>
      </c>
      <c r="P2" s="13"/>
      <c r="R2" s="6" t="s">
        <v>52</v>
      </c>
      <c r="S2" s="7"/>
    </row>
    <row r="3" spans="1:19" x14ac:dyDescent="0.3">
      <c r="A3" s="2">
        <f ca="1">TODAY()</f>
        <v>45948</v>
      </c>
      <c r="D3" s="9">
        <f ca="1">NOW()</f>
        <v>45948.941222569447</v>
      </c>
      <c r="G3" t="s">
        <v>60</v>
      </c>
      <c r="H3" t="s">
        <v>58</v>
      </c>
      <c r="I3" t="s">
        <v>59</v>
      </c>
      <c r="L3" s="14">
        <v>44972</v>
      </c>
      <c r="M3">
        <f>DAY(L3)</f>
        <v>15</v>
      </c>
      <c r="O3" s="14">
        <v>44972</v>
      </c>
      <c r="P3">
        <f>MONTH(O3)</f>
        <v>2</v>
      </c>
      <c r="R3" s="14">
        <v>44972</v>
      </c>
      <c r="S3">
        <f>YEAR(R3)</f>
        <v>2023</v>
      </c>
    </row>
    <row r="4" spans="1:19" x14ac:dyDescent="0.3">
      <c r="G4">
        <v>15</v>
      </c>
      <c r="H4">
        <v>2</v>
      </c>
      <c r="I4">
        <v>2023</v>
      </c>
      <c r="J4" s="14">
        <f>DATE(I4,H4,G4)</f>
        <v>44972</v>
      </c>
      <c r="L4" s="14">
        <v>45367</v>
      </c>
      <c r="M4">
        <f t="shared" ref="M4:M5" si="0">DAY(L4)</f>
        <v>16</v>
      </c>
      <c r="O4" s="14">
        <v>45367</v>
      </c>
      <c r="P4">
        <f t="shared" ref="P4:P5" si="1">MONTH(O4)</f>
        <v>3</v>
      </c>
      <c r="R4" s="14">
        <v>45367</v>
      </c>
      <c r="S4">
        <f t="shared" ref="S4:S5" si="2">YEAR(R4)</f>
        <v>2024</v>
      </c>
    </row>
    <row r="5" spans="1:19" x14ac:dyDescent="0.3">
      <c r="G5">
        <v>16</v>
      </c>
      <c r="H5">
        <v>3</v>
      </c>
      <c r="I5">
        <v>2024</v>
      </c>
      <c r="J5" s="14">
        <f t="shared" ref="J5:J6" si="3">DATE(I5,H5,G5)</f>
        <v>45367</v>
      </c>
      <c r="L5" s="14">
        <v>45790</v>
      </c>
      <c r="M5">
        <f t="shared" si="0"/>
        <v>13</v>
      </c>
      <c r="O5" s="14">
        <v>45790</v>
      </c>
      <c r="P5">
        <f t="shared" si="1"/>
        <v>5</v>
      </c>
      <c r="R5" s="14">
        <v>45790</v>
      </c>
      <c r="S5">
        <f t="shared" si="2"/>
        <v>2025</v>
      </c>
    </row>
    <row r="6" spans="1:19" x14ac:dyDescent="0.3">
      <c r="G6">
        <v>13</v>
      </c>
      <c r="H6">
        <v>5</v>
      </c>
      <c r="I6">
        <v>2025</v>
      </c>
      <c r="J6" s="14">
        <f t="shared" si="3"/>
        <v>45790</v>
      </c>
    </row>
    <row r="11" spans="1:19" x14ac:dyDescent="0.3">
      <c r="A11" s="12" t="s">
        <v>53</v>
      </c>
      <c r="B11" s="13"/>
      <c r="C11" s="7"/>
      <c r="D11" s="7"/>
      <c r="F11" s="12" t="s">
        <v>54</v>
      </c>
      <c r="G11" s="13"/>
      <c r="I11" s="12" t="s">
        <v>55</v>
      </c>
      <c r="J11" s="13"/>
      <c r="L11" s="12" t="s">
        <v>56</v>
      </c>
      <c r="M11" s="13"/>
    </row>
    <row r="12" spans="1:19" x14ac:dyDescent="0.3">
      <c r="A12">
        <v>2</v>
      </c>
      <c r="B12">
        <v>25</v>
      </c>
      <c r="C12">
        <v>23</v>
      </c>
      <c r="D12" s="15">
        <f>TIME(A12,B12,C12)</f>
        <v>0.10096064814814815</v>
      </c>
      <c r="F12" s="15">
        <v>0.10096064814814815</v>
      </c>
      <c r="G12">
        <f>HOUR(F12)</f>
        <v>2</v>
      </c>
      <c r="I12" s="15">
        <v>0.10096064814814815</v>
      </c>
      <c r="J12">
        <f>MINUTE(I12)</f>
        <v>25</v>
      </c>
      <c r="L12" s="15">
        <v>0.10096064814814815</v>
      </c>
      <c r="M12">
        <f>SECOND(L12)</f>
        <v>23</v>
      </c>
    </row>
    <row r="13" spans="1:19" x14ac:dyDescent="0.3">
      <c r="A13">
        <v>3</v>
      </c>
      <c r="B13">
        <v>36</v>
      </c>
      <c r="C13">
        <v>25</v>
      </c>
      <c r="D13" s="15">
        <f t="shared" ref="D13:D14" si="4">TIME(A13,B13,C13)</f>
        <v>0.15028935185185185</v>
      </c>
      <c r="F13" s="15">
        <v>0.15028935185185185</v>
      </c>
      <c r="G13">
        <f t="shared" ref="G13:G14" si="5">HOUR(F13)</f>
        <v>3</v>
      </c>
      <c r="I13" s="15">
        <v>0.15028935185185185</v>
      </c>
      <c r="J13">
        <f t="shared" ref="J13:J14" si="6">MINUTE(I13)</f>
        <v>36</v>
      </c>
      <c r="L13" s="15">
        <v>0.15028935185185185</v>
      </c>
      <c r="M13">
        <f t="shared" ref="M13:M14" si="7">SECOND(L13)</f>
        <v>25</v>
      </c>
      <c r="Q13" s="2"/>
    </row>
    <row r="14" spans="1:19" x14ac:dyDescent="0.3">
      <c r="A14">
        <v>5</v>
      </c>
      <c r="B14">
        <v>15</v>
      </c>
      <c r="C14">
        <v>29</v>
      </c>
      <c r="D14" s="15">
        <f t="shared" si="4"/>
        <v>0.21908564814814815</v>
      </c>
      <c r="F14" s="15">
        <v>0.21908564814814815</v>
      </c>
      <c r="G14">
        <f t="shared" si="5"/>
        <v>5</v>
      </c>
      <c r="I14" s="15">
        <v>0.21908564814814815</v>
      </c>
      <c r="J14">
        <f t="shared" si="6"/>
        <v>15</v>
      </c>
      <c r="L14" s="15">
        <v>0.21908564814814815</v>
      </c>
      <c r="M14">
        <f t="shared" si="7"/>
        <v>29</v>
      </c>
      <c r="Q14" s="2"/>
    </row>
    <row r="15" spans="1:19" x14ac:dyDescent="0.3">
      <c r="Q15" s="2"/>
    </row>
    <row r="18" spans="16:16" x14ac:dyDescent="0.3">
      <c r="P18" s="2"/>
    </row>
    <row r="19" spans="16:16" x14ac:dyDescent="0.3">
      <c r="P19" s="2"/>
    </row>
    <row r="20" spans="16:16" x14ac:dyDescent="0.3">
      <c r="P20" s="2"/>
    </row>
  </sheetData>
  <mergeCells count="9">
    <mergeCell ref="O2:P2"/>
    <mergeCell ref="A11:B11"/>
    <mergeCell ref="F11:G11"/>
    <mergeCell ref="I11:J11"/>
    <mergeCell ref="L11:M11"/>
    <mergeCell ref="A2:B2"/>
    <mergeCell ref="D2:E2"/>
    <mergeCell ref="G2:H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4E63-F2B3-49B4-8BAC-DF3ED6B0AC4B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9267-35B2-4B63-9994-8CBEE1A0BB99}">
  <dimension ref="A1:S25"/>
  <sheetViews>
    <sheetView zoomScale="78" workbookViewId="0">
      <selection activeCell="G21" sqref="G21"/>
    </sheetView>
  </sheetViews>
  <sheetFormatPr defaultRowHeight="14.4" x14ac:dyDescent="0.3"/>
  <cols>
    <col min="2" max="2" width="12" bestFit="1" customWidth="1"/>
  </cols>
  <sheetData>
    <row r="1" spans="1:19" x14ac:dyDescent="0.3">
      <c r="A1" s="12" t="s">
        <v>61</v>
      </c>
      <c r="B1" s="13"/>
      <c r="C1" s="6" t="s">
        <v>62</v>
      </c>
      <c r="D1" s="7"/>
      <c r="F1" s="12" t="s">
        <v>62</v>
      </c>
      <c r="G1" s="12"/>
      <c r="I1" s="12" t="s">
        <v>65</v>
      </c>
      <c r="J1" s="12"/>
      <c r="L1" s="12" t="s">
        <v>66</v>
      </c>
      <c r="M1" s="12"/>
      <c r="O1" s="12" t="s">
        <v>67</v>
      </c>
      <c r="P1" s="12"/>
      <c r="R1" s="12" t="s">
        <v>68</v>
      </c>
      <c r="S1" s="12"/>
    </row>
    <row r="2" spans="1:19" x14ac:dyDescent="0.3">
      <c r="A2">
        <v>6000</v>
      </c>
      <c r="B2">
        <f>ROUND(AVERAGE(A2:$A$25),100)</f>
        <v>28956.5217391304</v>
      </c>
      <c r="C2">
        <f>ROUND(AVERAGEA($A2:B$25),100)</f>
        <v>34223.273159512697</v>
      </c>
      <c r="F2">
        <v>20</v>
      </c>
      <c r="I2">
        <v>20</v>
      </c>
      <c r="J2">
        <f>COUNT(#REF!,20)</f>
        <v>1</v>
      </c>
      <c r="L2">
        <v>20</v>
      </c>
      <c r="M2">
        <f>COUNTA(L2:L5,5)</f>
        <v>5</v>
      </c>
      <c r="O2">
        <v>20</v>
      </c>
      <c r="P2">
        <f>COUNTBLANK($O$2:$O$7)</f>
        <v>1</v>
      </c>
      <c r="R2">
        <v>20</v>
      </c>
      <c r="S2">
        <f>COUNTIF(R2:R7,"N")</f>
        <v>1</v>
      </c>
    </row>
    <row r="3" spans="1:19" x14ac:dyDescent="0.3">
      <c r="A3">
        <v>8000</v>
      </c>
      <c r="B3">
        <f>ROUND(AVERAGE(A3:$A$25),100)</f>
        <v>30000</v>
      </c>
      <c r="C3">
        <f>ROUND(AVERAGEA($A3:B$25),100)</f>
        <v>34951.317172119103</v>
      </c>
      <c r="F3">
        <v>30</v>
      </c>
      <c r="I3">
        <v>30</v>
      </c>
      <c r="J3">
        <f>COUNT(#REF!,20)</f>
        <v>1</v>
      </c>
      <c r="L3">
        <v>30</v>
      </c>
      <c r="M3">
        <f t="shared" ref="M3:M7" si="0">COUNTA(L3:L6,5)</f>
        <v>4</v>
      </c>
      <c r="O3">
        <v>30</v>
      </c>
      <c r="P3">
        <f t="shared" ref="P3:P7" si="1">COUNTBLANK($O$2:$O$7)</f>
        <v>1</v>
      </c>
      <c r="R3">
        <v>30</v>
      </c>
      <c r="S3">
        <f t="shared" ref="S3:S7" si="2">COUNTIF(R3:R8,"N")</f>
        <v>1</v>
      </c>
    </row>
    <row r="4" spans="1:19" x14ac:dyDescent="0.3">
      <c r="A4">
        <v>10000</v>
      </c>
      <c r="B4">
        <f>ROUND(AVERAGE(A4:$A$25),100)</f>
        <v>31047.619047618999</v>
      </c>
      <c r="C4">
        <f>ROUND(AVERAGEA($A4:B$25),100)</f>
        <v>35676.377043579101</v>
      </c>
      <c r="F4">
        <v>20</v>
      </c>
      <c r="I4">
        <v>20</v>
      </c>
      <c r="J4">
        <f>COUNT(#REF!,20)</f>
        <v>1</v>
      </c>
      <c r="L4">
        <v>20</v>
      </c>
      <c r="M4">
        <f t="shared" si="0"/>
        <v>4</v>
      </c>
      <c r="O4">
        <v>20</v>
      </c>
      <c r="P4">
        <f t="shared" si="1"/>
        <v>1</v>
      </c>
      <c r="R4">
        <v>20</v>
      </c>
      <c r="S4">
        <f t="shared" si="2"/>
        <v>1</v>
      </c>
    </row>
    <row r="5" spans="1:19" x14ac:dyDescent="0.3">
      <c r="A5">
        <v>12000</v>
      </c>
      <c r="B5">
        <f>ROUND(AVERAGE(A5:$A$25),100)</f>
        <v>32100</v>
      </c>
      <c r="C5">
        <f>ROUND(AVERAGEA($A5:B$25),100)</f>
        <v>36397.927877853799</v>
      </c>
      <c r="F5" t="s">
        <v>63</v>
      </c>
      <c r="I5" t="s">
        <v>63</v>
      </c>
      <c r="J5">
        <f>COUNT(#REF!,20)</f>
        <v>1</v>
      </c>
      <c r="L5" t="s">
        <v>63</v>
      </c>
      <c r="M5">
        <f t="shared" si="0"/>
        <v>3</v>
      </c>
      <c r="O5" t="s">
        <v>63</v>
      </c>
      <c r="P5">
        <f t="shared" si="1"/>
        <v>1</v>
      </c>
      <c r="R5" t="s">
        <v>63</v>
      </c>
      <c r="S5">
        <f t="shared" si="2"/>
        <v>1</v>
      </c>
    </row>
    <row r="6" spans="1:19" x14ac:dyDescent="0.3">
      <c r="A6">
        <v>14000</v>
      </c>
      <c r="B6">
        <f>ROUND(AVERAGE(A6:$A$25),100)</f>
        <v>33157.8947368421</v>
      </c>
      <c r="C6">
        <f>ROUND(AVERAGEA($A6:B$25),100)</f>
        <v>37115.324271746496</v>
      </c>
      <c r="J6">
        <f>COUNT(#REF!,20)</f>
        <v>1</v>
      </c>
      <c r="M6">
        <f>COUNTA(L6:L9,5)</f>
        <v>2</v>
      </c>
      <c r="P6">
        <f t="shared" si="1"/>
        <v>1</v>
      </c>
      <c r="S6">
        <f>COUNTIF(R6:R11,"N")</f>
        <v>0</v>
      </c>
    </row>
    <row r="7" spans="1:19" x14ac:dyDescent="0.3">
      <c r="A7">
        <v>16000</v>
      </c>
      <c r="B7">
        <f>ROUND(AVERAGE(A7:$A$25),100)</f>
        <v>34222.222222222197</v>
      </c>
      <c r="C7">
        <f>ROUND(AVERAGEA($A7:B$25),100)</f>
        <v>37827.765161395197</v>
      </c>
      <c r="F7">
        <v>25</v>
      </c>
      <c r="I7">
        <v>25</v>
      </c>
      <c r="J7">
        <f>COUNT(#REF!,20)</f>
        <v>1</v>
      </c>
      <c r="L7">
        <v>25</v>
      </c>
      <c r="M7">
        <f t="shared" si="0"/>
        <v>2</v>
      </c>
      <c r="O7">
        <v>25</v>
      </c>
      <c r="P7">
        <f t="shared" si="1"/>
        <v>1</v>
      </c>
      <c r="R7">
        <v>25</v>
      </c>
      <c r="S7">
        <f t="shared" si="2"/>
        <v>0</v>
      </c>
    </row>
    <row r="8" spans="1:19" x14ac:dyDescent="0.3">
      <c r="A8">
        <v>18000</v>
      </c>
      <c r="B8">
        <f>ROUND(AVERAGE(A8:$A$25),100)</f>
        <v>35294.117647058803</v>
      </c>
      <c r="C8">
        <f>ROUND(AVERAGEA($A8:B$25),100)</f>
        <v>38534.245941966503</v>
      </c>
    </row>
    <row r="9" spans="1:19" x14ac:dyDescent="0.3">
      <c r="A9">
        <v>20000</v>
      </c>
      <c r="B9">
        <f>ROUND(AVERAGE(A9:$A$25),100)</f>
        <v>36375</v>
      </c>
      <c r="C9">
        <f>ROUND(AVERAGEA($A9:B$25),100)</f>
        <v>39233.4922430511</v>
      </c>
    </row>
    <row r="10" spans="1:19" x14ac:dyDescent="0.3">
      <c r="A10">
        <v>22000</v>
      </c>
      <c r="B10">
        <f>ROUND(AVERAGE(A10:$A$25),100)</f>
        <v>37466.666666666701</v>
      </c>
      <c r="C10">
        <f>ROUND(AVERAGEA($A10:B$25),100)</f>
        <v>39923.866758241798</v>
      </c>
    </row>
    <row r="11" spans="1:19" x14ac:dyDescent="0.3">
      <c r="A11">
        <v>24000</v>
      </c>
      <c r="B11">
        <f>ROUND(AVERAGE(A11:$A$25),100)</f>
        <v>38571.428571428602</v>
      </c>
      <c r="C11">
        <f>ROUND(AVERAGEA($A11:B$25),100)</f>
        <v>40603.235653235701</v>
      </c>
    </row>
    <row r="12" spans="1:19" x14ac:dyDescent="0.3">
      <c r="A12">
        <v>26000</v>
      </c>
      <c r="B12">
        <f>ROUND(AVERAGE(A12:$A$25),100)</f>
        <v>39692.307692307702</v>
      </c>
      <c r="C12">
        <f>ROUND(AVERAGEA($A12:B$25),100)</f>
        <v>41268.772893772897</v>
      </c>
    </row>
    <row r="13" spans="1:19" x14ac:dyDescent="0.3">
      <c r="A13">
        <v>28000</v>
      </c>
      <c r="B13">
        <f>ROUND(AVERAGE(A13:$A$25),100)</f>
        <v>40833.333333333299</v>
      </c>
      <c r="C13">
        <f>ROUND(AVERAGEA($A13:B$25),100)</f>
        <v>41916.666666666701</v>
      </c>
    </row>
    <row r="14" spans="1:19" x14ac:dyDescent="0.3">
      <c r="A14" t="s">
        <v>64</v>
      </c>
      <c r="B14">
        <f>ROUND(AVERAGE(A14:$A$25),100)</f>
        <v>42000</v>
      </c>
      <c r="C14">
        <f>ROUND(AVERAGEA($A14:B$25),100)</f>
        <v>42541.666666666701</v>
      </c>
    </row>
    <row r="15" spans="1:19" x14ac:dyDescent="0.3">
      <c r="A15">
        <v>32000</v>
      </c>
      <c r="B15">
        <f>ROUND(AVERAGE(A15:$A$25),100)</f>
        <v>42000</v>
      </c>
      <c r="C15">
        <f>ROUND(AVERAGEA($A15:B$25),100)</f>
        <v>44500</v>
      </c>
      <c r="F15" s="12" t="s">
        <v>69</v>
      </c>
      <c r="G15" s="12"/>
    </row>
    <row r="16" spans="1:19" x14ac:dyDescent="0.3">
      <c r="A16">
        <v>34000</v>
      </c>
      <c r="B16">
        <f>ROUND(AVERAGE(A16:$A$25),100)</f>
        <v>43000</v>
      </c>
      <c r="C16">
        <f>ROUND(AVERAGEA($A16:B$25),100)</f>
        <v>45250</v>
      </c>
      <c r="F16">
        <v>32</v>
      </c>
      <c r="G16">
        <f>MODE(F12:F19,F16)</f>
        <v>32</v>
      </c>
    </row>
    <row r="17" spans="1:7" x14ac:dyDescent="0.3">
      <c r="A17">
        <v>36000</v>
      </c>
      <c r="B17">
        <f>ROUND(AVERAGE(A17:$A$25),100)</f>
        <v>44000</v>
      </c>
      <c r="C17">
        <f>ROUND(AVERAGEA($A17:B$25),100)</f>
        <v>46000</v>
      </c>
      <c r="F17">
        <v>25</v>
      </c>
      <c r="G17">
        <f t="shared" ref="G17:G23" si="3">MODE(F13:F20,F17)</f>
        <v>25</v>
      </c>
    </row>
    <row r="18" spans="1:7" x14ac:dyDescent="0.3">
      <c r="A18">
        <v>38000</v>
      </c>
      <c r="B18">
        <f>ROUND(AVERAGE(A18:$A$25),100)</f>
        <v>45000</v>
      </c>
      <c r="C18">
        <f>ROUND(AVERAGEA($A18:B$25),100)</f>
        <v>46750</v>
      </c>
      <c r="F18">
        <v>22</v>
      </c>
      <c r="G18">
        <f t="shared" si="3"/>
        <v>22</v>
      </c>
    </row>
    <row r="19" spans="1:7" x14ac:dyDescent="0.3">
      <c r="A19">
        <v>40000</v>
      </c>
      <c r="B19">
        <f>ROUND(AVERAGE(A19:$A$25),100)</f>
        <v>46000</v>
      </c>
      <c r="C19">
        <f>ROUND(AVERAGEA($A19:B$25),100)</f>
        <v>47500</v>
      </c>
      <c r="F19">
        <v>30</v>
      </c>
      <c r="G19">
        <f t="shared" si="3"/>
        <v>25</v>
      </c>
    </row>
    <row r="20" spans="1:7" x14ac:dyDescent="0.3">
      <c r="A20">
        <v>42000</v>
      </c>
      <c r="B20">
        <f>ROUND(AVERAGE(A20:$A$25),100)</f>
        <v>47000</v>
      </c>
      <c r="C20">
        <f>ROUND(AVERAGEA($A20:B$25),100)</f>
        <v>48250</v>
      </c>
      <c r="F20">
        <v>22</v>
      </c>
      <c r="G20">
        <f t="shared" si="3"/>
        <v>25</v>
      </c>
    </row>
    <row r="21" spans="1:7" x14ac:dyDescent="0.3">
      <c r="A21">
        <v>44000</v>
      </c>
      <c r="B21">
        <f>ROUND(AVERAGE(A21:$A$25),100)</f>
        <v>48000</v>
      </c>
      <c r="C21">
        <f>ROUND(AVERAGEA($A21:B$25),100)</f>
        <v>49000</v>
      </c>
      <c r="F21">
        <v>25</v>
      </c>
      <c r="G21">
        <f t="shared" si="3"/>
        <v>25</v>
      </c>
    </row>
    <row r="22" spans="1:7" x14ac:dyDescent="0.3">
      <c r="A22">
        <v>46000</v>
      </c>
      <c r="B22">
        <f>ROUND(AVERAGE(A22:$A$25),100)</f>
        <v>49000</v>
      </c>
      <c r="C22">
        <f>ROUND(AVERAGEA($A22:B$25),100)</f>
        <v>49750</v>
      </c>
      <c r="F22">
        <v>25</v>
      </c>
      <c r="G22">
        <f t="shared" si="3"/>
        <v>25</v>
      </c>
    </row>
    <row r="23" spans="1:7" x14ac:dyDescent="0.3">
      <c r="A23">
        <v>48000</v>
      </c>
      <c r="B23">
        <f>ROUND(AVERAGE(A23:$A$25),100)</f>
        <v>50000</v>
      </c>
      <c r="C23">
        <f>ROUND(AVERAGEA($A23:B$25),100)</f>
        <v>50500</v>
      </c>
      <c r="F23">
        <v>30</v>
      </c>
      <c r="G23">
        <f t="shared" si="3"/>
        <v>30</v>
      </c>
    </row>
    <row r="24" spans="1:7" x14ac:dyDescent="0.3">
      <c r="A24">
        <v>50000</v>
      </c>
      <c r="B24">
        <f>ROUND(AVERAGE(A24:$A$25),100)</f>
        <v>51000</v>
      </c>
      <c r="C24">
        <f>ROUND(AVERAGEA($A24:B$25),100)</f>
        <v>51250</v>
      </c>
    </row>
    <row r="25" spans="1:7" x14ac:dyDescent="0.3">
      <c r="A25">
        <v>52000</v>
      </c>
      <c r="B25">
        <f>ROUND(AVERAGE(A25:$A$25),100)</f>
        <v>52000</v>
      </c>
      <c r="C25">
        <f>ROUND(AVERAGEA($A25:B$25),100)</f>
        <v>52000</v>
      </c>
    </row>
  </sheetData>
  <autoFilter ref="A1:B25" xr:uid="{35639267-35B2-4B63-9994-8CBEE1A0BB99}">
    <filterColumn colId="0" showButton="0"/>
  </autoFilter>
  <mergeCells count="7">
    <mergeCell ref="R1:S1"/>
    <mergeCell ref="F15:G15"/>
    <mergeCell ref="A1:B1"/>
    <mergeCell ref="F1:G1"/>
    <mergeCell ref="I1:J1"/>
    <mergeCell ref="L1:M1"/>
    <mergeCell ref="O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D290-04D6-4634-AB9C-4C16148F5FE5}">
  <dimension ref="A1:T23"/>
  <sheetViews>
    <sheetView tabSelected="1" zoomScale="64" workbookViewId="0">
      <selection activeCell="A22" sqref="A22"/>
    </sheetView>
  </sheetViews>
  <sheetFormatPr defaultRowHeight="14.4" x14ac:dyDescent="0.3"/>
  <cols>
    <col min="1" max="1" width="20.21875" bestFit="1" customWidth="1"/>
    <col min="2" max="2" width="8" bestFit="1" customWidth="1"/>
    <col min="3" max="3" width="7.88671875" bestFit="1" customWidth="1"/>
    <col min="4" max="4" width="4.44140625" bestFit="1" customWidth="1"/>
    <col min="5" max="5" width="7.88671875" bestFit="1" customWidth="1"/>
    <col min="8" max="8" width="11.5546875" bestFit="1" customWidth="1"/>
    <col min="9" max="10" width="8.44140625" bestFit="1" customWidth="1"/>
    <col min="11" max="11" width="11.5546875" bestFit="1" customWidth="1"/>
    <col min="14" max="14" width="11.5546875" bestFit="1" customWidth="1"/>
  </cols>
  <sheetData>
    <row r="1" spans="1:20" x14ac:dyDescent="0.3">
      <c r="A1" s="17" t="s">
        <v>70</v>
      </c>
      <c r="B1" s="16" t="s">
        <v>71</v>
      </c>
      <c r="C1" s="16" t="s">
        <v>37</v>
      </c>
      <c r="D1" s="16" t="s">
        <v>72</v>
      </c>
      <c r="E1" s="16" t="s">
        <v>73</v>
      </c>
      <c r="H1" s="17" t="s">
        <v>71</v>
      </c>
      <c r="I1" s="17" t="s">
        <v>98</v>
      </c>
      <c r="J1" s="17" t="s">
        <v>99</v>
      </c>
      <c r="K1" s="17" t="s">
        <v>100</v>
      </c>
      <c r="N1" s="17" t="s">
        <v>71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</row>
    <row r="2" spans="1:20" x14ac:dyDescent="0.3">
      <c r="A2" t="s">
        <v>74</v>
      </c>
      <c r="B2" t="s">
        <v>80</v>
      </c>
      <c r="C2" t="s">
        <v>86</v>
      </c>
      <c r="D2">
        <v>25</v>
      </c>
      <c r="E2" t="s">
        <v>92</v>
      </c>
      <c r="H2" t="s">
        <v>80</v>
      </c>
      <c r="I2">
        <v>2500</v>
      </c>
      <c r="J2">
        <v>2575</v>
      </c>
      <c r="K2">
        <v>2500</v>
      </c>
      <c r="N2" s="17" t="s">
        <v>98</v>
      </c>
      <c r="O2">
        <v>2500</v>
      </c>
      <c r="P2">
        <v>3000</v>
      </c>
      <c r="Q2">
        <v>3500</v>
      </c>
      <c r="R2">
        <v>4000</v>
      </c>
      <c r="S2">
        <v>4500</v>
      </c>
      <c r="T2">
        <v>5000</v>
      </c>
    </row>
    <row r="3" spans="1:20" x14ac:dyDescent="0.3">
      <c r="A3" t="s">
        <v>75</v>
      </c>
      <c r="B3" t="s">
        <v>81</v>
      </c>
      <c r="C3" t="s">
        <v>87</v>
      </c>
      <c r="D3">
        <v>20</v>
      </c>
      <c r="E3" t="s">
        <v>93</v>
      </c>
      <c r="H3" t="s">
        <v>81</v>
      </c>
      <c r="I3">
        <v>3000</v>
      </c>
      <c r="J3">
        <v>2640</v>
      </c>
      <c r="K3">
        <v>2445</v>
      </c>
      <c r="N3" s="17" t="s">
        <v>99</v>
      </c>
      <c r="O3">
        <v>2575</v>
      </c>
      <c r="P3">
        <v>2640</v>
      </c>
      <c r="Q3">
        <v>2705</v>
      </c>
      <c r="R3">
        <v>2770</v>
      </c>
      <c r="S3">
        <v>2835</v>
      </c>
      <c r="T3">
        <v>2900</v>
      </c>
    </row>
    <row r="4" spans="1:20" x14ac:dyDescent="0.3">
      <c r="A4" t="s">
        <v>76</v>
      </c>
      <c r="B4" t="s">
        <v>82</v>
      </c>
      <c r="C4" t="s">
        <v>88</v>
      </c>
      <c r="D4">
        <v>15</v>
      </c>
      <c r="E4" t="s">
        <v>94</v>
      </c>
      <c r="H4" t="s">
        <v>82</v>
      </c>
      <c r="I4">
        <v>3500</v>
      </c>
      <c r="J4">
        <v>2705</v>
      </c>
      <c r="K4">
        <v>2390</v>
      </c>
      <c r="N4" s="17" t="s">
        <v>100</v>
      </c>
      <c r="O4">
        <v>2500</v>
      </c>
      <c r="P4">
        <v>2445</v>
      </c>
      <c r="Q4">
        <v>2390</v>
      </c>
      <c r="R4">
        <v>2335</v>
      </c>
      <c r="S4">
        <v>2280</v>
      </c>
      <c r="T4">
        <v>2225</v>
      </c>
    </row>
    <row r="5" spans="1:20" x14ac:dyDescent="0.3">
      <c r="A5" t="s">
        <v>77</v>
      </c>
      <c r="B5" t="s">
        <v>83</v>
      </c>
      <c r="C5" t="s">
        <v>89</v>
      </c>
      <c r="D5">
        <v>10</v>
      </c>
      <c r="E5" t="s">
        <v>95</v>
      </c>
      <c r="H5" t="s">
        <v>83</v>
      </c>
      <c r="I5">
        <v>4000</v>
      </c>
      <c r="J5">
        <v>2770</v>
      </c>
      <c r="K5">
        <v>2335</v>
      </c>
    </row>
    <row r="6" spans="1:20" x14ac:dyDescent="0.3">
      <c r="A6" t="s">
        <v>78</v>
      </c>
      <c r="B6" t="s">
        <v>84</v>
      </c>
      <c r="C6" t="s">
        <v>90</v>
      </c>
      <c r="D6">
        <v>5</v>
      </c>
      <c r="E6" t="s">
        <v>96</v>
      </c>
      <c r="H6" t="s">
        <v>84</v>
      </c>
      <c r="I6">
        <v>4500</v>
      </c>
      <c r="J6">
        <v>2835</v>
      </c>
      <c r="K6">
        <v>2280</v>
      </c>
    </row>
    <row r="7" spans="1:20" x14ac:dyDescent="0.3">
      <c r="A7" t="s">
        <v>79</v>
      </c>
      <c r="B7" t="s">
        <v>85</v>
      </c>
      <c r="C7" t="s">
        <v>91</v>
      </c>
      <c r="D7">
        <v>0</v>
      </c>
      <c r="E7" t="s">
        <v>97</v>
      </c>
      <c r="H7" t="s">
        <v>85</v>
      </c>
      <c r="I7">
        <v>5000</v>
      </c>
      <c r="J7">
        <v>2900</v>
      </c>
      <c r="K7">
        <v>2225</v>
      </c>
    </row>
    <row r="9" spans="1:20" x14ac:dyDescent="0.3">
      <c r="A9" t="s">
        <v>101</v>
      </c>
    </row>
    <row r="10" spans="1:20" x14ac:dyDescent="0.3">
      <c r="A10" s="17" t="s">
        <v>70</v>
      </c>
      <c r="B10" s="17" t="s">
        <v>71</v>
      </c>
      <c r="C10" s="17" t="s">
        <v>37</v>
      </c>
      <c r="D10" s="17" t="s">
        <v>72</v>
      </c>
      <c r="E10" s="17" t="s">
        <v>73</v>
      </c>
      <c r="H10" s="17" t="s">
        <v>103</v>
      </c>
      <c r="I10" s="17"/>
      <c r="J10" s="17"/>
      <c r="K10" s="17"/>
      <c r="N10" s="17" t="s">
        <v>103</v>
      </c>
      <c r="O10" s="17"/>
      <c r="P10" s="17"/>
      <c r="Q10" s="17"/>
    </row>
    <row r="11" spans="1:20" x14ac:dyDescent="0.3">
      <c r="A11" t="s">
        <v>74</v>
      </c>
      <c r="B11" t="str">
        <f>VLOOKUP($A11,$A$1:$E$7,COLUMN(),0)</f>
        <v>ARVID</v>
      </c>
      <c r="C11" t="str">
        <f t="shared" ref="C11:E12" si="0">VLOOKUP($A11,$A$1:$E$7,COLUMN(),0)</f>
        <v>O1</v>
      </c>
      <c r="D11">
        <f t="shared" si="0"/>
        <v>25</v>
      </c>
      <c r="E11" t="str">
        <f t="shared" si="0"/>
        <v>8 TO 10</v>
      </c>
      <c r="H11" t="s">
        <v>51</v>
      </c>
      <c r="I11" t="s">
        <v>104</v>
      </c>
      <c r="N11" t="s">
        <v>71</v>
      </c>
      <c r="O11" t="s">
        <v>98</v>
      </c>
      <c r="P11" t="s">
        <v>99</v>
      </c>
    </row>
    <row r="12" spans="1:20" x14ac:dyDescent="0.3">
      <c r="A12" t="s">
        <v>79</v>
      </c>
      <c r="B12" t="str">
        <f>VLOOKUP(A12,A1:E7,2,0)</f>
        <v>RAJ</v>
      </c>
      <c r="C12" t="str">
        <f t="shared" si="0"/>
        <v>O6</v>
      </c>
      <c r="D12">
        <f t="shared" si="0"/>
        <v>0</v>
      </c>
      <c r="E12" t="str">
        <f t="shared" si="0"/>
        <v>12 TO 11</v>
      </c>
      <c r="H12" t="s">
        <v>98</v>
      </c>
      <c r="I12">
        <f>HLOOKUP(H12,H1:K7,3,0)</f>
        <v>3000</v>
      </c>
      <c r="N12" t="s">
        <v>80</v>
      </c>
      <c r="O12">
        <f>HLOOKUP($N12,$N$1:$T$4,2,0)</f>
        <v>2500</v>
      </c>
      <c r="P12">
        <f>HLOOKUP($N12,$N$1:$T$4,3,0)</f>
        <v>2575</v>
      </c>
    </row>
    <row r="13" spans="1:20" x14ac:dyDescent="0.3">
      <c r="A13" t="s">
        <v>77</v>
      </c>
      <c r="E13" t="str">
        <f>VLOOKUP(A13,A1:E7,5,0)</f>
        <v>11 TO 11</v>
      </c>
      <c r="H13" t="s">
        <v>98</v>
      </c>
      <c r="I13">
        <f>HLOOKUP(H13,H1:K7,4,0)</f>
        <v>3500</v>
      </c>
      <c r="N13" t="s">
        <v>83</v>
      </c>
      <c r="O13">
        <f>HLOOKUP(N13,N1:T4,2,0)</f>
        <v>4000</v>
      </c>
    </row>
    <row r="15" spans="1:20" x14ac:dyDescent="0.3">
      <c r="A15" t="s">
        <v>102</v>
      </c>
      <c r="N15" s="17" t="s">
        <v>71</v>
      </c>
      <c r="O15" t="s">
        <v>80</v>
      </c>
    </row>
    <row r="16" spans="1:20" x14ac:dyDescent="0.3">
      <c r="A16" s="17" t="s">
        <v>70</v>
      </c>
      <c r="B16" s="17" t="s">
        <v>71</v>
      </c>
      <c r="C16" s="17" t="s">
        <v>37</v>
      </c>
      <c r="D16" s="17" t="s">
        <v>72</v>
      </c>
      <c r="E16" s="17" t="s">
        <v>73</v>
      </c>
      <c r="H16" t="str">
        <f>INDEX(H1:H7,4)</f>
        <v>SURESH</v>
      </c>
      <c r="N16" s="17" t="s">
        <v>98</v>
      </c>
      <c r="O16">
        <f>INDEX($N$1:$T$4,MATCH($N$16,$N$1:$N$4,0),MATCH($O$15,$N$1:$T$1,0))</f>
        <v>2500</v>
      </c>
    </row>
    <row r="17" spans="1:17" x14ac:dyDescent="0.3">
      <c r="A17" t="s">
        <v>78</v>
      </c>
      <c r="B17" t="str">
        <f>VLOOKUP(A17,A1:E7,MATCH(B16,A1:E1,0),0)</f>
        <v>HARSH</v>
      </c>
      <c r="C17" t="str">
        <f>VLOOKUP(B17,B1:F7,MATCH(C16,B1:F1,0),0)</f>
        <v>O5</v>
      </c>
      <c r="D17">
        <f>VLOOKUP(C17,C1:G7,MATCH(D16,C1:G1,0),0)</f>
        <v>5</v>
      </c>
      <c r="E17" t="str">
        <f>VLOOKUP(D17,D1:H7,MATCH(E16,D1:H1,0),0)</f>
        <v>10 TO 10</v>
      </c>
      <c r="H17" t="str">
        <f>INDEX(A1:E7,5,3)</f>
        <v>O4</v>
      </c>
      <c r="N17" s="17" t="s">
        <v>99</v>
      </c>
      <c r="O17">
        <f>INDEX(N1:T4,MATCH(N17,N1:N4,0),MATCH(O15,N1:T1,0))</f>
        <v>2575</v>
      </c>
    </row>
    <row r="18" spans="1:17" x14ac:dyDescent="0.3">
      <c r="N18" s="17" t="s">
        <v>100</v>
      </c>
      <c r="O18">
        <f>INDEX(N2:T5,MATCH(N18,N2:N5,0),MATCH(O16,N2:T2,0))</f>
        <v>2500</v>
      </c>
    </row>
    <row r="20" spans="1:17" x14ac:dyDescent="0.3">
      <c r="A20" s="17" t="s">
        <v>70</v>
      </c>
      <c r="B20" s="17" t="s">
        <v>71</v>
      </c>
      <c r="C20" s="17" t="s">
        <v>37</v>
      </c>
      <c r="D20" s="17" t="s">
        <v>72</v>
      </c>
      <c r="E20" s="17" t="s">
        <v>73</v>
      </c>
      <c r="H20" s="17" t="s">
        <v>70</v>
      </c>
      <c r="I20" s="16" t="s">
        <v>71</v>
      </c>
      <c r="J20" s="16" t="s">
        <v>37</v>
      </c>
      <c r="K20" s="16" t="s">
        <v>72</v>
      </c>
      <c r="L20" s="16" t="s">
        <v>73</v>
      </c>
    </row>
    <row r="21" spans="1:17" x14ac:dyDescent="0.3">
      <c r="A21" t="s">
        <v>74</v>
      </c>
      <c r="B21" t="str">
        <f ca="1">LOOKUP($A$21,$A$1:$A$7,B2:B7)</f>
        <v>RAHUL</v>
      </c>
      <c r="C21" t="str">
        <f t="shared" ref="C21:E21" ca="1" si="1">LOOKUP($A$21,$A$1:$A$7,C2:C7)</f>
        <v>O2</v>
      </c>
      <c r="D21">
        <f t="shared" ca="1" si="1"/>
        <v>20</v>
      </c>
      <c r="E21" t="str">
        <f t="shared" ca="1" si="1"/>
        <v>10 TO 11</v>
      </c>
      <c r="H21" t="s">
        <v>77</v>
      </c>
      <c r="I21" t="str">
        <f>INDEX(A1:E7,MATCH(H21,A1:A7,0),MATCH(I20,A1:E1,0))</f>
        <v>RAMESH</v>
      </c>
      <c r="J21" t="str">
        <f>INDEX(A1:E7,MATCH(H21,A1:A7,0),MATCH(J20,A1:E1,0))</f>
        <v>O4</v>
      </c>
      <c r="K21">
        <f>INDEX(A1:E7,MATCH(H21,A1:A7,0),MATCH(K20,A1:E1,0))</f>
        <v>10</v>
      </c>
      <c r="O21">
        <f>MATCH(A5,A1:A7,0)</f>
        <v>5</v>
      </c>
      <c r="P21">
        <f>MATCH(I20,A1:E1,0)</f>
        <v>2</v>
      </c>
      <c r="Q21" t="str">
        <f>INDEX(A1:E7,5,2)</f>
        <v>RAMESH</v>
      </c>
    </row>
    <row r="23" spans="1:17" x14ac:dyDescent="0.3">
      <c r="O23">
        <f>MATCH(H21,A1:A7,0)</f>
        <v>5</v>
      </c>
      <c r="P23">
        <f>MATCH(J20,A1:E1,0)</f>
        <v>3</v>
      </c>
    </row>
  </sheetData>
  <phoneticPr fontId="7" type="noConversion"/>
  <conditionalFormatting sqref="E2:E7">
    <cfRule type="duplicateValues" dxfId="8" priority="10"/>
    <cfRule type="duplicateValues" dxfId="7" priority="11"/>
  </conditionalFormatting>
  <conditionalFormatting sqref="H2:H7 I9">
    <cfRule type="duplicateValues" dxfId="6" priority="9"/>
  </conditionalFormatting>
  <conditionalFormatting sqref="H12">
    <cfRule type="duplicateValues" dxfId="5" priority="8"/>
  </conditionalFormatting>
  <conditionalFormatting sqref="O1:T1">
    <cfRule type="duplicateValues" dxfId="4" priority="7"/>
  </conditionalFormatting>
  <conditionalFormatting sqref="N12 N14">
    <cfRule type="duplicateValues" dxfId="3" priority="12"/>
  </conditionalFormatting>
  <conditionalFormatting sqref="N13">
    <cfRule type="duplicateValues" dxfId="2" priority="3"/>
  </conditionalFormatting>
  <conditionalFormatting sqref="O15">
    <cfRule type="duplicateValues" dxfId="0" priority="1"/>
  </conditionalFormatting>
  <dataValidations count="2">
    <dataValidation type="list" allowBlank="1" showInputMessage="1" showErrorMessage="1" sqref="H13" xr:uid="{D33D55AD-E242-4004-A5A6-46BA34697815}">
      <formula1>$I$1:$K$1</formula1>
    </dataValidation>
    <dataValidation type="list" allowBlank="1" showInputMessage="1" showErrorMessage="1" sqref="A11" xr:uid="{5D514463-D586-4BD4-AF7A-1E5567B229A8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Basic Part 1</vt:lpstr>
      <vt:lpstr>DATE&amp;TIME</vt:lpstr>
      <vt:lpstr>Text function</vt:lpstr>
      <vt:lpstr>averag&amp;if</vt:lpstr>
      <vt:lpstr>VLOOKUP,HLOOKUP,INDEX,MATCH,DGE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cp:lastPrinted>2025-10-15T12:08:50Z</cp:lastPrinted>
  <dcterms:created xsi:type="dcterms:W3CDTF">2025-10-15T11:14:43Z</dcterms:created>
  <dcterms:modified xsi:type="dcterms:W3CDTF">2025-11-02T04:48:31Z</dcterms:modified>
</cp:coreProperties>
</file>