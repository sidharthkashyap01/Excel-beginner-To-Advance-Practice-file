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96" windowWidth="22932" windowHeight="1003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B59" i="1"/>
  <c r="B56"/>
  <c r="B55"/>
  <c r="B54"/>
  <c r="B53"/>
  <c r="B52"/>
  <c r="C40"/>
  <c r="C32"/>
  <c r="C27"/>
  <c r="C24"/>
  <c r="C26" s="1"/>
  <c r="K14"/>
  <c r="I14"/>
  <c r="G14"/>
  <c r="E14"/>
  <c r="E6"/>
  <c r="L6"/>
  <c r="L2"/>
  <c r="H6"/>
  <c r="H2"/>
  <c r="E2"/>
</calcChain>
</file>

<file path=xl/sharedStrings.xml><?xml version="1.0" encoding="utf-8"?>
<sst xmlns="http://schemas.openxmlformats.org/spreadsheetml/2006/main" count="61" uniqueCount="47">
  <si>
    <t>Sub Total</t>
  </si>
  <si>
    <t>Product</t>
  </si>
  <si>
    <t>computer</t>
  </si>
  <si>
    <t>Mouse</t>
  </si>
  <si>
    <t>Counif</t>
  </si>
  <si>
    <t>Avergeif</t>
  </si>
  <si>
    <t>Sumifs</t>
  </si>
  <si>
    <t>Counifs</t>
  </si>
  <si>
    <t>Averageifs</t>
  </si>
  <si>
    <t>sumif</t>
  </si>
  <si>
    <t xml:space="preserve">DataBase function </t>
  </si>
  <si>
    <t>OrderDate</t>
  </si>
  <si>
    <t>&gt;02-05-2011</t>
  </si>
  <si>
    <t>&lt;07-05-2011</t>
  </si>
  <si>
    <t>Computer</t>
  </si>
  <si>
    <t>&gt;10000</t>
  </si>
  <si>
    <t>DSUM</t>
  </si>
  <si>
    <t>DCOUNT</t>
  </si>
  <si>
    <t>DCOUNTA</t>
  </si>
  <si>
    <t>DAVERAGE</t>
  </si>
  <si>
    <t>Financial Function</t>
  </si>
  <si>
    <t>ROI(Rate of Interest</t>
  </si>
  <si>
    <t>Duration</t>
  </si>
  <si>
    <t>Amount</t>
  </si>
  <si>
    <t>Month</t>
  </si>
  <si>
    <t>Monthly installment</t>
  </si>
  <si>
    <t>Total</t>
  </si>
  <si>
    <t>Interest</t>
  </si>
  <si>
    <t>ROI(Rate Of Interest)f</t>
  </si>
  <si>
    <t>pmt</t>
  </si>
  <si>
    <t>PV</t>
  </si>
  <si>
    <t>ROI(Rate OF Interest)</t>
  </si>
  <si>
    <t>PMT</t>
  </si>
  <si>
    <t>FV</t>
  </si>
  <si>
    <t>Future Value</t>
  </si>
  <si>
    <t>Total deposite</t>
  </si>
  <si>
    <t>Profit</t>
  </si>
  <si>
    <r>
      <rPr>
        <b/>
        <sz val="11"/>
        <color rgb="FFFF0000"/>
        <rFont val="Calibri"/>
        <family val="2"/>
        <scheme val="minor"/>
      </rPr>
      <t>TEXT FUNC</t>
    </r>
    <r>
      <rPr>
        <sz val="11"/>
        <color theme="1"/>
        <rFont val="Calibri"/>
        <family val="2"/>
        <scheme val="minor"/>
      </rPr>
      <t>TION</t>
    </r>
  </si>
  <si>
    <t>COMPUTER DEVICE</t>
  </si>
  <si>
    <t>Len</t>
  </si>
  <si>
    <t>Right</t>
  </si>
  <si>
    <t>Left</t>
  </si>
  <si>
    <t>Search</t>
  </si>
  <si>
    <t>Exact</t>
  </si>
  <si>
    <t>Unicode</t>
  </si>
  <si>
    <t>Unichar</t>
  </si>
  <si>
    <t>Substitute</t>
  </si>
</sst>
</file>

<file path=xl/styles.xml><?xml version="1.0" encoding="utf-8"?>
<styleSheet xmlns="http://schemas.openxmlformats.org/spreadsheetml/2006/main">
  <numFmts count="1">
    <numFmt numFmtId="8" formatCode="&quot;₹&quot;\ #,##0.00;[Red]&quot;₹&quot;\ \-#,##0.00"/>
  </numFmts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3" fillId="2" borderId="0" xfId="0" applyFont="1" applyFill="1"/>
    <xf numFmtId="0" fontId="0" fillId="2" borderId="0" xfId="0" applyFill="1"/>
    <xf numFmtId="0" fontId="2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2" borderId="0" xfId="0" applyFont="1" applyFill="1"/>
    <xf numFmtId="0" fontId="4" fillId="2" borderId="0" xfId="0" applyFont="1" applyFill="1"/>
    <xf numFmtId="0" fontId="0" fillId="0" borderId="1" xfId="0" applyBorder="1"/>
    <xf numFmtId="9" fontId="0" fillId="0" borderId="1" xfId="0" applyNumberFormat="1" applyBorder="1"/>
    <xf numFmtId="8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tabSelected="1" topLeftCell="A31" workbookViewId="0">
      <selection activeCell="B60" sqref="B60"/>
    </sheetView>
  </sheetViews>
  <sheetFormatPr defaultRowHeight="14.4"/>
  <cols>
    <col min="1" max="1" width="11.109375" bestFit="1" customWidth="1"/>
    <col min="2" max="2" width="19.6640625" customWidth="1"/>
    <col min="3" max="3" width="12.44140625" customWidth="1"/>
    <col min="5" max="5" width="13" customWidth="1"/>
    <col min="6" max="6" width="12.109375" customWidth="1"/>
    <col min="7" max="7" width="11.6640625" customWidth="1"/>
  </cols>
  <sheetData>
    <row r="1" spans="1:13">
      <c r="A1" t="s">
        <v>11</v>
      </c>
      <c r="B1" t="s">
        <v>1</v>
      </c>
      <c r="C1" t="s">
        <v>0</v>
      </c>
      <c r="E1" s="2" t="s">
        <v>9</v>
      </c>
      <c r="H1" s="3" t="s">
        <v>4</v>
      </c>
      <c r="L1" s="3" t="s">
        <v>5</v>
      </c>
    </row>
    <row r="2" spans="1:13">
      <c r="A2" s="1">
        <v>40664</v>
      </c>
      <c r="B2" t="s">
        <v>2</v>
      </c>
      <c r="C2">
        <v>20565.620599999998</v>
      </c>
      <c r="E2">
        <f>SUMIF(C2:C11,"&gt;10000")</f>
        <v>156854.16440000001</v>
      </c>
      <c r="H2">
        <f>COUNTIF(C2:C11,"&gt;10000")</f>
        <v>6</v>
      </c>
      <c r="L2">
        <f>AVERAGEIF(C2:C11,"&gt;10000")</f>
        <v>26142.360733333335</v>
      </c>
    </row>
    <row r="3" spans="1:13">
      <c r="A3" s="1">
        <v>40665</v>
      </c>
      <c r="B3" t="s">
        <v>3</v>
      </c>
      <c r="C3">
        <v>1294.2529</v>
      </c>
    </row>
    <row r="4" spans="1:13">
      <c r="A4" s="1">
        <v>40666</v>
      </c>
      <c r="B4" t="s">
        <v>2</v>
      </c>
      <c r="C4">
        <v>32726.478599999999</v>
      </c>
    </row>
    <row r="5" spans="1:13">
      <c r="A5" s="1">
        <v>40667</v>
      </c>
      <c r="B5" t="s">
        <v>2</v>
      </c>
      <c r="C5">
        <v>28832.528900000001</v>
      </c>
      <c r="E5" s="3" t="s">
        <v>6</v>
      </c>
      <c r="H5" s="3" t="s">
        <v>7</v>
      </c>
      <c r="L5" s="3" t="s">
        <v>8</v>
      </c>
    </row>
    <row r="6" spans="1:13">
      <c r="A6" s="1">
        <v>40668</v>
      </c>
      <c r="B6" t="s">
        <v>3</v>
      </c>
      <c r="C6">
        <v>419.45890000000003</v>
      </c>
      <c r="E6">
        <f>SUMIFS(C2:C11,A2:A11,"&gt;2-5-2011",C2:C11,"&gt;10000",A2:A11,"&lt;7-05-2011")</f>
        <v>85991.616299999994</v>
      </c>
      <c r="H6">
        <f>COUNTIFS(C2:C11,"&gt;10000",A2:A11,"&gt;02-05-2011",A2:A11,"&lt;07-05-2011")</f>
        <v>3</v>
      </c>
      <c r="L6">
        <f>AVERAGEIFS(C2:C11,C2:C11,"&gt;10000",B2:B11,"computer",A2:A11,"&gt;02-05-2011",A2:A11,"&lt;07-05-2011")</f>
        <v>28663.872099999997</v>
      </c>
    </row>
    <row r="7" spans="1:13">
      <c r="A7" s="1">
        <v>40669</v>
      </c>
      <c r="B7" t="s">
        <v>2</v>
      </c>
      <c r="C7">
        <v>24432.608800000002</v>
      </c>
    </row>
    <row r="8" spans="1:13">
      <c r="A8" s="1">
        <v>40670</v>
      </c>
      <c r="B8" t="s">
        <v>3</v>
      </c>
      <c r="C8">
        <v>14352.7713</v>
      </c>
    </row>
    <row r="9" spans="1:13">
      <c r="A9" s="1">
        <v>40671</v>
      </c>
      <c r="B9" t="s">
        <v>2</v>
      </c>
      <c r="C9">
        <v>5056.4895999999999</v>
      </c>
      <c r="E9" s="3"/>
      <c r="F9" s="3"/>
      <c r="G9" s="3"/>
      <c r="H9" s="4" t="s">
        <v>10</v>
      </c>
      <c r="I9" s="3"/>
      <c r="J9" s="3"/>
      <c r="K9" s="3"/>
      <c r="L9" s="3"/>
    </row>
    <row r="10" spans="1:13">
      <c r="A10" s="1">
        <v>40672</v>
      </c>
      <c r="B10" t="s">
        <v>2</v>
      </c>
      <c r="C10">
        <v>6107.0820000000003</v>
      </c>
      <c r="E10" t="s">
        <v>11</v>
      </c>
      <c r="F10" t="s">
        <v>11</v>
      </c>
      <c r="G10" t="s">
        <v>1</v>
      </c>
      <c r="H10" t="s">
        <v>0</v>
      </c>
    </row>
    <row r="11" spans="1:13">
      <c r="A11" s="1">
        <v>40673</v>
      </c>
      <c r="B11" t="s">
        <v>3</v>
      </c>
      <c r="C11">
        <v>35944.156199999998</v>
      </c>
      <c r="E11" t="s">
        <v>12</v>
      </c>
      <c r="F11" t="s">
        <v>13</v>
      </c>
      <c r="G11" t="s">
        <v>14</v>
      </c>
      <c r="H11" t="s">
        <v>15</v>
      </c>
    </row>
    <row r="13" spans="1:13">
      <c r="E13" s="6" t="s">
        <v>16</v>
      </c>
      <c r="F13" s="5"/>
      <c r="G13" s="6" t="s">
        <v>17</v>
      </c>
      <c r="H13" s="5"/>
      <c r="I13" s="6" t="s">
        <v>18</v>
      </c>
      <c r="J13" s="5"/>
      <c r="K13" s="6" t="s">
        <v>19</v>
      </c>
      <c r="L13" s="5"/>
      <c r="M13" s="5"/>
    </row>
    <row r="14" spans="1:13">
      <c r="E14">
        <f>DSUM(A1:C11,C1,E10:H11)</f>
        <v>85991.616299999994</v>
      </c>
      <c r="G14">
        <f>DCOUNT(A1:C11,B1,E10:H11)</f>
        <v>0</v>
      </c>
      <c r="I14">
        <f>DCOUNTA(A1:C11,B1,E10:H11)</f>
        <v>3</v>
      </c>
      <c r="K14">
        <f>DAVERAGE(A1:C11,C1,E10:H11)</f>
        <v>28663.872099999997</v>
      </c>
    </row>
    <row r="18" spans="1:6">
      <c r="A18" s="7"/>
      <c r="B18" s="8" t="s">
        <v>20</v>
      </c>
      <c r="C18" s="7"/>
      <c r="D18" s="7"/>
      <c r="E18" s="7"/>
    </row>
    <row r="19" spans="1:6">
      <c r="F19" s="1"/>
    </row>
    <row r="20" spans="1:6">
      <c r="B20" s="9" t="s">
        <v>21</v>
      </c>
      <c r="C20" s="10">
        <v>0.11</v>
      </c>
      <c r="D20" s="9"/>
    </row>
    <row r="21" spans="1:6">
      <c r="B21" s="9" t="s">
        <v>22</v>
      </c>
      <c r="C21" s="9">
        <v>48</v>
      </c>
      <c r="D21" s="9" t="s">
        <v>24</v>
      </c>
    </row>
    <row r="22" spans="1:6">
      <c r="B22" s="9" t="s">
        <v>23</v>
      </c>
      <c r="C22" s="9">
        <v>500000</v>
      </c>
      <c r="D22" s="9"/>
    </row>
    <row r="23" spans="1:6">
      <c r="B23" s="9"/>
      <c r="C23" s="9"/>
      <c r="D23" s="9"/>
    </row>
    <row r="24" spans="1:6">
      <c r="A24" t="s">
        <v>29</v>
      </c>
      <c r="B24" s="9" t="s">
        <v>25</v>
      </c>
      <c r="C24" s="11">
        <f>PMT(C20/12,C21,-C22,0,1)</f>
        <v>12805.37866793688</v>
      </c>
      <c r="D24" s="9"/>
    </row>
    <row r="25" spans="1:6">
      <c r="B25" s="9"/>
      <c r="C25" s="9"/>
      <c r="D25" s="9"/>
    </row>
    <row r="26" spans="1:6">
      <c r="B26" s="9" t="s">
        <v>26</v>
      </c>
      <c r="C26" s="11">
        <f>C24*48</f>
        <v>614658.17606097029</v>
      </c>
      <c r="D26" s="9"/>
    </row>
    <row r="27" spans="1:6">
      <c r="B27" s="9" t="s">
        <v>27</v>
      </c>
      <c r="C27" s="11">
        <f>C26-C22</f>
        <v>114658.17606097029</v>
      </c>
      <c r="D27" s="9"/>
    </row>
    <row r="28" spans="1:6">
      <c r="B28" s="9"/>
      <c r="C28" s="9"/>
      <c r="D28" s="9"/>
    </row>
    <row r="29" spans="1:6">
      <c r="B29" s="9"/>
      <c r="C29" s="9"/>
      <c r="D29" s="9"/>
    </row>
    <row r="30" spans="1:6">
      <c r="B30" s="9" t="s">
        <v>28</v>
      </c>
      <c r="C30" s="10">
        <v>0.11</v>
      </c>
      <c r="D30" s="9"/>
    </row>
    <row r="31" spans="1:6">
      <c r="B31" s="9" t="s">
        <v>22</v>
      </c>
      <c r="C31" s="9">
        <v>48</v>
      </c>
      <c r="D31" s="9"/>
    </row>
    <row r="32" spans="1:6">
      <c r="B32" s="9" t="s">
        <v>30</v>
      </c>
      <c r="C32" s="11">
        <f>PV(C20/12,C24,-C31,0,1)</f>
        <v>5284.363636363636</v>
      </c>
      <c r="D32" s="9"/>
    </row>
    <row r="33" spans="2:4">
      <c r="B33" s="9"/>
      <c r="C33" s="9"/>
      <c r="D33" s="9"/>
    </row>
    <row r="34" spans="2:4">
      <c r="B34" s="12"/>
      <c r="C34" s="12"/>
      <c r="D34" s="12"/>
    </row>
    <row r="35" spans="2:4">
      <c r="B35" s="9" t="s">
        <v>31</v>
      </c>
      <c r="C35" s="10">
        <v>0.11</v>
      </c>
      <c r="D35" s="9"/>
    </row>
    <row r="36" spans="2:4">
      <c r="B36" s="9" t="s">
        <v>22</v>
      </c>
      <c r="C36" s="9">
        <v>48</v>
      </c>
      <c r="D36" s="9"/>
    </row>
    <row r="37" spans="2:4">
      <c r="B37" s="9" t="s">
        <v>32</v>
      </c>
      <c r="C37" s="9">
        <v>12805.37867</v>
      </c>
      <c r="D37" s="9"/>
    </row>
    <row r="38" spans="2:4">
      <c r="B38" s="9" t="s">
        <v>33</v>
      </c>
      <c r="C38" s="9"/>
      <c r="D38" s="9"/>
    </row>
    <row r="39" spans="2:4">
      <c r="B39" s="9"/>
      <c r="C39" s="9"/>
      <c r="D39" s="9"/>
    </row>
    <row r="40" spans="2:4">
      <c r="B40" s="9" t="s">
        <v>34</v>
      </c>
      <c r="C40" s="11">
        <f>FV(C35/12,C36,-C37,0,1)</f>
        <v>774799.02402108011</v>
      </c>
      <c r="D40" s="9"/>
    </row>
    <row r="41" spans="2:4">
      <c r="B41" s="9"/>
      <c r="C41" s="9"/>
      <c r="D41" s="9"/>
    </row>
    <row r="42" spans="2:4">
      <c r="B42" s="9" t="s">
        <v>35</v>
      </c>
      <c r="C42" s="9"/>
      <c r="D42" s="9"/>
    </row>
    <row r="43" spans="2:4">
      <c r="B43" s="9"/>
      <c r="C43" s="9"/>
      <c r="D43" s="9"/>
    </row>
    <row r="44" spans="2:4">
      <c r="B44" s="9" t="s">
        <v>36</v>
      </c>
      <c r="C44" s="9"/>
      <c r="D44" s="9"/>
    </row>
    <row r="45" spans="2:4">
      <c r="B45" s="9"/>
      <c r="C45" s="9"/>
      <c r="D45" s="9"/>
    </row>
    <row r="46" spans="2:4">
      <c r="B46" s="9"/>
      <c r="C46" s="9"/>
      <c r="D46" s="9"/>
    </row>
    <row r="48" spans="2:4">
      <c r="B48" s="3"/>
      <c r="C48" s="3" t="s">
        <v>37</v>
      </c>
      <c r="D48" s="3"/>
    </row>
    <row r="50" spans="1:2">
      <c r="B50" t="s">
        <v>38</v>
      </c>
    </row>
    <row r="52" spans="1:2">
      <c r="A52" t="s">
        <v>39</v>
      </c>
      <c r="B52">
        <f>LEN(B50)</f>
        <v>15</v>
      </c>
    </row>
    <row r="53" spans="1:2">
      <c r="A53" t="s">
        <v>40</v>
      </c>
      <c r="B53" t="str">
        <f>RIGHT(B50,5)</f>
        <v>EVICE</v>
      </c>
    </row>
    <row r="54" spans="1:2">
      <c r="A54" t="s">
        <v>41</v>
      </c>
      <c r="B54" t="str">
        <f>LEFT(B50,5)</f>
        <v>COMPU</v>
      </c>
    </row>
    <row r="55" spans="1:2">
      <c r="A55" t="s">
        <v>42</v>
      </c>
      <c r="B55">
        <f>SEARCH("dev",B50,6)</f>
        <v>10</v>
      </c>
    </row>
    <row r="56" spans="1:2">
      <c r="A56" t="s">
        <v>43</v>
      </c>
      <c r="B56" t="b">
        <f>EXACT("Hello","hello")</f>
        <v>0</v>
      </c>
    </row>
    <row r="57" spans="1:2">
      <c r="A57" t="s">
        <v>44</v>
      </c>
    </row>
    <row r="58" spans="1:2">
      <c r="A58" t="s">
        <v>45</v>
      </c>
    </row>
    <row r="59" spans="1:2">
      <c r="A59" t="s">
        <v>46</v>
      </c>
      <c r="B59" t="str">
        <f>SUBSTITUTE(B50,"OMPUTER","omputer")</f>
        <v>Computer DEVICE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 KASHYAP</dc:creator>
  <cp:lastModifiedBy>RAJ KASHYAP</cp:lastModifiedBy>
  <dcterms:created xsi:type="dcterms:W3CDTF">2025-08-30T07:00:25Z</dcterms:created>
  <dcterms:modified xsi:type="dcterms:W3CDTF">2025-08-31T13:55:59Z</dcterms:modified>
</cp:coreProperties>
</file>