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ESUME\MS Excel\"/>
    </mc:Choice>
  </mc:AlternateContent>
  <xr:revisionPtr revIDLastSave="0" documentId="13_ncr:1_{F98BDEC8-CBFE-4C89-8E3E-2B322550C30C}" xr6:coauthVersionLast="47" xr6:coauthVersionMax="47" xr10:uidLastSave="{00000000-0000-0000-0000-000000000000}"/>
  <bookViews>
    <workbookView xWindow="-96" yWindow="0" windowWidth="11712" windowHeight="13056" firstSheet="1" activeTab="3" xr2:uid="{352589D4-B4BF-4127-8F14-865A7AD94C4F}"/>
  </bookViews>
  <sheets>
    <sheet name="Vlookup 1" sheetId="1" r:id="rId1"/>
    <sheet name="VLOOKUP 2" sheetId="2" r:id="rId2"/>
    <sheet name="Vlookup 3" sheetId="3" r:id="rId3"/>
    <sheet name="Vlookup 4" sheetId="4" r:id="rId4"/>
    <sheet name="Vlookup 5 Reverse Lookup" sheetId="5" r:id="rId5"/>
    <sheet name="6 - Double Vlookup" sheetId="6" r:id="rId6"/>
    <sheet name="7 - Multi Table V-Lookup" sheetId="7" r:id="rId7"/>
  </sheets>
  <externalReferences>
    <externalReference r:id="rId8"/>
  </externalReferences>
  <definedNames>
    <definedName name="COURSED">'[1]13 - 2 Lookups Value'!$A$1:$D$8</definedName>
    <definedName name="Data1">'7 - Multi Table V-Lookup'!$A$3:$C$14</definedName>
    <definedName name="Data2">'7 - Multi Table V-Lookup'!$E$3:$G$14</definedName>
    <definedName name="Data3">'7 - Multi Table V-Lookup'!$I$3:$K$14</definedName>
    <definedName name="Exam_Seat_No">'Vlookup 4'!$G$1:$I$11</definedName>
    <definedName name="Incentive_Target">'VLOOKUP 2'!$G$1:$H$7</definedName>
    <definedName name="list1">'[1]1- Introduction Vlookup'!$A:$E</definedName>
    <definedName name="List2">'[1]3- IF Error Vlookup'!$A:$E</definedName>
    <definedName name="list3">'[1]4 - Nested Vlookup'!$A$1:$B$11</definedName>
    <definedName name="list4">'[1]4 - Nested Vlookup'!$D$1:$H$11</definedName>
    <definedName name="list5">'[1]6 - Double Vlookup'!$A$1:$F$11</definedName>
    <definedName name="list6">'[1]6 - Double Vlookup'!$B$1:$F$11</definedName>
    <definedName name="location">'[1]New Data'!$A$1:$B$4</definedName>
    <definedName name="monthdata">'[1] Backupdata'!$A$1:$M$7</definedName>
    <definedName name="Monthlist">'[1] Backupdata'!$A$1:$M$1</definedName>
    <definedName name="PRICE">'[1]12 - Vlookup with Find'!$A$1:$D$13</definedName>
    <definedName name="ProductT">[1]DATA1!$A$2:$B$12</definedName>
    <definedName name="Qty">[1]DATA2!$A$2:$B$12</definedName>
    <definedName name="Roll_Number">'Vlookup 4'!$A$1:$B$11</definedName>
    <definedName name="Target">'[1]2- Range Lookup'!$I$1:$J$5</definedName>
    <definedName name="Zone">'[1]2- Range Lookup'!$I$8:$J$11</definedName>
    <definedName name="ZoneT">[1]DATA3!$A$2:$B$12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4" l="1"/>
  <c r="J12" i="3"/>
  <c r="J13" i="3"/>
  <c r="J14" i="3"/>
  <c r="J15" i="3"/>
  <c r="J11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2" i="2"/>
  <c r="N20" i="6" a="1"/>
  <c r="N20" i="6" s="1"/>
  <c r="K20" i="6"/>
  <c r="K21" i="6"/>
  <c r="K22" i="6"/>
  <c r="K23" i="6"/>
  <c r="K19" i="6"/>
  <c r="G21" i="6" a="1"/>
  <c r="G21" i="6" s="1"/>
  <c r="F21" i="6" s="1"/>
  <c r="F18" i="7"/>
  <c r="F19" i="7"/>
  <c r="K12" i="6"/>
  <c r="K13" i="6"/>
  <c r="K14" i="6"/>
  <c r="K15" i="6"/>
  <c r="K11" i="6"/>
  <c r="K4" i="6"/>
  <c r="K5" i="6"/>
  <c r="K6" i="6"/>
  <c r="K7" i="6"/>
  <c r="K3" i="6"/>
  <c r="J3" i="5"/>
  <c r="J4" i="5"/>
  <c r="J5" i="5"/>
  <c r="J6" i="5"/>
  <c r="J2" i="5"/>
  <c r="E6" i="4"/>
  <c r="E5" i="4"/>
  <c r="J3" i="3"/>
  <c r="J4" i="3"/>
  <c r="J5" i="3"/>
  <c r="J6" i="3"/>
  <c r="J2" i="3"/>
  <c r="J3" i="1"/>
  <c r="J4" i="1"/>
  <c r="J5" i="1"/>
  <c r="J6" i="1"/>
  <c r="J2" i="1"/>
  <c r="J20" i="1"/>
  <c r="J21" i="1"/>
  <c r="J22" i="1"/>
  <c r="J23" i="1"/>
  <c r="J19" i="1"/>
  <c r="J13" i="1"/>
  <c r="J14" i="1"/>
  <c r="J15" i="1"/>
  <c r="J16" i="1"/>
  <c r="J12" i="1"/>
  <c r="K3" i="1"/>
  <c r="K4" i="1"/>
  <c r="K5" i="1"/>
  <c r="K6" i="1"/>
  <c r="K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<sst xmlns="http://schemas.openxmlformats.org/spreadsheetml/2006/main" count="423" uniqueCount="117">
  <si>
    <t>EmpID</t>
  </si>
  <si>
    <t>Name</t>
  </si>
  <si>
    <t>Age</t>
  </si>
  <si>
    <t>Gender</t>
  </si>
  <si>
    <t>Position</t>
  </si>
  <si>
    <t>Salary</t>
  </si>
  <si>
    <t>Male</t>
  </si>
  <si>
    <t>Sales</t>
  </si>
  <si>
    <t>Female</t>
  </si>
  <si>
    <t>Finance</t>
  </si>
  <si>
    <t>Operations</t>
  </si>
  <si>
    <t>Product Manager</t>
  </si>
  <si>
    <t>Data Scientist</t>
  </si>
  <si>
    <t>Marketing</t>
  </si>
  <si>
    <t>HR</t>
  </si>
  <si>
    <t>Software Engineer</t>
  </si>
  <si>
    <t>Support</t>
  </si>
  <si>
    <t>Aniruddha Kale</t>
  </si>
  <si>
    <t>Aslam Raza</t>
  </si>
  <si>
    <t>Roshan Zameer</t>
  </si>
  <si>
    <t>Rakesh Sharma</t>
  </si>
  <si>
    <t>Shivanand Sahani</t>
  </si>
  <si>
    <t>Kuntal Patra</t>
  </si>
  <si>
    <t>Bijendra Singh</t>
  </si>
  <si>
    <t>Kranti Bheke</t>
  </si>
  <si>
    <t>Jagdeep Paward</t>
  </si>
  <si>
    <t>Adhir Samal</t>
  </si>
  <si>
    <t>Dannana Jhammi</t>
  </si>
  <si>
    <t>Vipin Kumar</t>
  </si>
  <si>
    <t>Ranjeet Kumar</t>
  </si>
  <si>
    <t>Sajal Singhal</t>
  </si>
  <si>
    <t>Akhilesh Kumar</t>
  </si>
  <si>
    <t>Suvankar Chakraborty</t>
  </si>
  <si>
    <t>Suvankar Adhikary</t>
  </si>
  <si>
    <t>Salesman</t>
  </si>
  <si>
    <t>Target</t>
  </si>
  <si>
    <t>Incentive</t>
  </si>
  <si>
    <t>Student Name</t>
  </si>
  <si>
    <t>Exam Seat No</t>
  </si>
  <si>
    <t>Classroom</t>
  </si>
  <si>
    <t>Roll No</t>
  </si>
  <si>
    <t>8A</t>
  </si>
  <si>
    <t>9B</t>
  </si>
  <si>
    <t>9C</t>
  </si>
  <si>
    <t>8C</t>
  </si>
  <si>
    <t>8B</t>
  </si>
  <si>
    <t>Arpit Shah</t>
  </si>
  <si>
    <t>Shakti Bhargav</t>
  </si>
  <si>
    <t>Bijendra Gupta</t>
  </si>
  <si>
    <t>Kranti Singh</t>
  </si>
  <si>
    <t>A209</t>
  </si>
  <si>
    <t>A210</t>
  </si>
  <si>
    <t>A211</t>
  </si>
  <si>
    <t>A212</t>
  </si>
  <si>
    <t>B209</t>
  </si>
  <si>
    <t>C209</t>
  </si>
  <si>
    <t>B210</t>
  </si>
  <si>
    <t>C210</t>
  </si>
  <si>
    <t>B212</t>
  </si>
  <si>
    <t>C213</t>
  </si>
  <si>
    <t>Rajiv Gupta</t>
  </si>
  <si>
    <t>Satyajit Singh</t>
  </si>
  <si>
    <t>Vipul Sharma</t>
  </si>
  <si>
    <t>Ramesh Shinde</t>
  </si>
  <si>
    <t>Lokesh Sharma</t>
  </si>
  <si>
    <t>Karim Shaikh</t>
  </si>
  <si>
    <t>ANIRUDDHA KALE</t>
  </si>
  <si>
    <t>ASLAM RAZA</t>
  </si>
  <si>
    <t>ROSHAN ZAMEER</t>
  </si>
  <si>
    <t>RAKESH SHARMA</t>
  </si>
  <si>
    <t>SHIVANAND SAHANI</t>
  </si>
  <si>
    <t>KUNTAL PATRA</t>
  </si>
  <si>
    <t>BIJENDRA SINGH</t>
  </si>
  <si>
    <t>KRANTI BHEKE</t>
  </si>
  <si>
    <t>JAGDEEP PAWARD</t>
  </si>
  <si>
    <t>ADHIR SAMAL</t>
  </si>
  <si>
    <t>DANNANA JHAMMI</t>
  </si>
  <si>
    <t>VIPIN KUMAR</t>
  </si>
  <si>
    <t>RANJEET KUMAR</t>
  </si>
  <si>
    <t>SAJAL SINGHAL</t>
  </si>
  <si>
    <t>AKHILESH KUMAR</t>
  </si>
  <si>
    <t>SUVANKAR CHAKRABORTY</t>
  </si>
  <si>
    <t>SUVANKAR ADHIKARY</t>
  </si>
  <si>
    <t>Project ID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</si>
  <si>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</si>
  <si>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</si>
  <si>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</si>
  <si>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</si>
  <si>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</si>
  <si>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</si>
  <si>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</si>
  <si>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</si>
  <si>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</si>
  <si>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</si>
  <si>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</si>
  <si>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</si>
  <si>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</si>
  <si>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</si>
  <si>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</si>
  <si>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</si>
  <si>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</si>
  <si>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Quantity</t>
  </si>
  <si>
    <t>Product</t>
  </si>
  <si>
    <t>Enter Bill No.</t>
  </si>
  <si>
    <t>Keyboard</t>
  </si>
  <si>
    <t>Mouse</t>
  </si>
  <si>
    <t>LCD</t>
  </si>
  <si>
    <t>SSD</t>
  </si>
  <si>
    <t>LED</t>
  </si>
  <si>
    <t>HDD</t>
  </si>
  <si>
    <t>Headphone</t>
  </si>
  <si>
    <t>Pendrive</t>
  </si>
  <si>
    <t>Bill No.</t>
  </si>
  <si>
    <t>Data3</t>
  </si>
  <si>
    <t>Data2</t>
  </si>
  <si>
    <t>Data1</t>
  </si>
  <si>
    <t>Vlookup on Multiple Table/Sheets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</si>
</sst>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/>
    <xf numFmtId="0" fontId="0" fillId="0" borderId="0" xfId="0" applyAlignment="1">
      <alignment horizontal="right" vertical="center"/>
    </xf>
    <xf numFmtId="0" fontId="0" fillId="0" borderId="1" xfId="0" applyBorder="1"/>
    <xf numFmtId="9" fontId="0" fillId="0" borderId="1" xfId="0" applyNumberFormat="1" applyBorder="1"/>
    <xf numFmtId="9" fontId="0" fillId="0" borderId="0" xfId="0" applyNumberFormat="1"/>
    <xf numFmtId="9" fontId="0" fillId="0" borderId="1" xfId="1" applyFont="1" applyBorder="1"/>
    <xf numFmtId="0" fontId="1" fillId="0" borderId="1" xfId="0" applyFont="1" applyBorder="1"/>
    <xf numFmtId="0" fontId="0" fillId="0" borderId="1" xfId="0" applyBorder="1" applyAlignment="1">
      <alignment horizontal="left" vertical="center"/>
    </xf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center" vertical="top"/>
    </xf>
    <xf numFmtId="0" fontId="3" fillId="3" borderId="0" xfId="0" applyFont="1" applyFill="1"/>
    <xf numFmtId="0" fontId="5" fillId="3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5" fillId="2" borderId="1" xfId="0" applyFont="1" applyFill="1" applyBorder="1"/>
    <xf numFmtId="14" fontId="0" fillId="0" borderId="1" xfId="0" applyNumberFormat="1" applyBorder="1"/>
    <xf numFmtId="0" fontId="0" fillId="4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9"/>
              <c:pt idx="0">
                <c:v>23</c:v>
              </c:pt>
              <c:pt idx="1">
                <c:v>45</c:v>
              </c:pt>
              <c:pt idx="2">
                <c:v>64</c:v>
              </c:pt>
              <c:pt idx="3">
                <c:v>34</c:v>
              </c:pt>
              <c:pt idx="4">
                <c:v>34</c:v>
              </c:pt>
              <c:pt idx="5">
                <c:v>32</c:v>
              </c:pt>
              <c:pt idx="6">
                <c:v>56</c:v>
              </c:pt>
              <c:pt idx="7">
                <c:v>80</c:v>
              </c:pt>
              <c:pt idx="8">
                <c:v>104</c:v>
              </c:pt>
            </c:numLit>
          </c:val>
          <c:extLst>
            <c:ext xmlns:c15="http://schemas.microsoft.com/office/drawing/2012/chart" uri="{02D57815-91ED-43cb-92C2-25804820EDAC}">
              <c15:filteredSeriesTitle>
                <c15:tx>
                  <c:v>#REF!</c:v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Lit>
                    <c:ptCount val="9"/>
                    <c:pt idx="0">
                      <c:v>Item1</c:v>
                    </c:pt>
                    <c:pt idx="1">
                      <c:v>Item1</c:v>
                    </c:pt>
                    <c:pt idx="2">
                      <c:v>Item3</c:v>
                    </c:pt>
                    <c:pt idx="3">
                      <c:v>Item3</c:v>
                    </c:pt>
                    <c:pt idx="4">
                      <c:v>Item2</c:v>
                    </c:pt>
                    <c:pt idx="5">
                      <c:v>Item2</c:v>
                    </c:pt>
                    <c:pt idx="6">
                      <c:v>Item2</c:v>
                    </c:pt>
                    <c:pt idx="7">
                      <c:v>Item2</c:v>
                    </c:pt>
                    <c:pt idx="8">
                      <c:v>Item2</c:v>
                    </c:pt>
                  </c:strLit>
                </c15:cat>
              </c15:filteredCategoryTitle>
            </c:ext>
            <c:ext xmlns:c16="http://schemas.microsoft.com/office/drawing/2014/chart" uri="{C3380CC4-5D6E-409C-BE32-E72D297353CC}">
              <c16:uniqueId val="{00000000-7A7C-4248-8676-FB5F40B90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6857600"/>
        <c:axId val="756858160"/>
      </c:barChart>
      <c:catAx>
        <c:axId val="75685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858160"/>
        <c:crosses val="autoZero"/>
        <c:auto val="1"/>
        <c:lblAlgn val="ctr"/>
        <c:lblOffset val="100"/>
        <c:noMultiLvlLbl val="0"/>
      </c:catAx>
      <c:valAx>
        <c:axId val="7568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85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</xdr:colOff>
      <xdr:row>5</xdr:row>
      <xdr:rowOff>59531</xdr:rowOff>
    </xdr:from>
    <xdr:to>
      <xdr:col>6</xdr:col>
      <xdr:colOff>291702</xdr:colOff>
      <xdr:row>14</xdr:row>
      <xdr:rowOff>184547</xdr:rowOff>
    </xdr:to>
    <xdr:graphicFrame macro="">
      <xdr:nvGraphicFramePr>
        <xdr:cNvPr id="2" name="Chart 1" hidden="1">
          <a:extLst>
            <a:ext uri="{FF2B5EF4-FFF2-40B4-BE49-F238E27FC236}">
              <a16:creationId xmlns:a16="http://schemas.microsoft.com/office/drawing/2014/main" id="{59258477-4D40-4159-9FF2-383F394BCC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202405</xdr:colOff>
      <xdr:row>2</xdr:row>
      <xdr:rowOff>35718</xdr:rowOff>
    </xdr:from>
    <xdr:to>
      <xdr:col>2</xdr:col>
      <xdr:colOff>208358</xdr:colOff>
      <xdr:row>4</xdr:row>
      <xdr:rowOff>190499</xdr:rowOff>
    </xdr:to>
    <xdr:sp macro="" textlink="">
      <xdr:nvSpPr>
        <xdr:cNvPr id="3" name="Rounded Rectangular Callout 2" hidden="1">
          <a:extLst>
            <a:ext uri="{FF2B5EF4-FFF2-40B4-BE49-F238E27FC236}">
              <a16:creationId xmlns:a16="http://schemas.microsoft.com/office/drawing/2014/main" id="{365163C7-8663-4FC2-970E-BB95D3F9DD16}"/>
            </a:ext>
          </a:extLst>
        </xdr:cNvPr>
        <xdr:cNvSpPr/>
      </xdr:nvSpPr>
      <xdr:spPr>
        <a:xfrm>
          <a:off x="202405" y="401478"/>
          <a:ext cx="1225153" cy="512921"/>
        </a:xfrm>
        <a:prstGeom prst="wedgeRoundRectCallout">
          <a:avLst>
            <a:gd name="adj1" fmla="val -21321"/>
            <a:gd name="adj2" fmla="val 83611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Here You can see</a:t>
          </a:r>
          <a:r>
            <a:rPr lang="en-US" sz="1100" baseline="0"/>
            <a:t> the Hidden Chart</a:t>
          </a:r>
          <a:endParaRPr lang="en-US" sz="1100"/>
        </a:p>
      </xdr:txBody>
    </xdr:sp>
    <xdr:clientData/>
  </xdr:twoCellAnchor>
  <xdr:twoCellAnchor>
    <xdr:from>
      <xdr:col>4</xdr:col>
      <xdr:colOff>202405</xdr:colOff>
      <xdr:row>2</xdr:row>
      <xdr:rowOff>35718</xdr:rowOff>
    </xdr:from>
    <xdr:to>
      <xdr:col>6</xdr:col>
      <xdr:colOff>208358</xdr:colOff>
      <xdr:row>4</xdr:row>
      <xdr:rowOff>190499</xdr:rowOff>
    </xdr:to>
    <xdr:sp macro="" textlink="">
      <xdr:nvSpPr>
        <xdr:cNvPr id="4" name="Rounded Rectangular Callout 3" hidden="1">
          <a:extLst>
            <a:ext uri="{FF2B5EF4-FFF2-40B4-BE49-F238E27FC236}">
              <a16:creationId xmlns:a16="http://schemas.microsoft.com/office/drawing/2014/main" id="{8B76296C-74DE-4525-ABF0-D86C20D9F3F5}"/>
            </a:ext>
          </a:extLst>
        </xdr:cNvPr>
        <xdr:cNvSpPr/>
      </xdr:nvSpPr>
      <xdr:spPr>
        <a:xfrm>
          <a:off x="2640805" y="401478"/>
          <a:ext cx="1225153" cy="512921"/>
        </a:xfrm>
        <a:prstGeom prst="wedgeRoundRectCallout">
          <a:avLst>
            <a:gd name="adj1" fmla="val -21321"/>
            <a:gd name="adj2" fmla="val 83611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Here You can see</a:t>
          </a:r>
          <a:r>
            <a:rPr lang="en-US" sz="1100" baseline="0"/>
            <a:t> the Hidden Chart</a:t>
          </a:r>
          <a:endParaRPr lang="en-US" sz="1100"/>
        </a:p>
      </xdr:txBody>
    </xdr:sp>
    <xdr:clientData/>
  </xdr:twoCellAnchor>
  <xdr:twoCellAnchor>
    <xdr:from>
      <xdr:col>8</xdr:col>
      <xdr:colOff>202405</xdr:colOff>
      <xdr:row>2</xdr:row>
      <xdr:rowOff>35718</xdr:rowOff>
    </xdr:from>
    <xdr:to>
      <xdr:col>10</xdr:col>
      <xdr:colOff>208358</xdr:colOff>
      <xdr:row>4</xdr:row>
      <xdr:rowOff>190499</xdr:rowOff>
    </xdr:to>
    <xdr:sp macro="" textlink="">
      <xdr:nvSpPr>
        <xdr:cNvPr id="5" name="Rounded Rectangular Callout 4" hidden="1">
          <a:extLst>
            <a:ext uri="{FF2B5EF4-FFF2-40B4-BE49-F238E27FC236}">
              <a16:creationId xmlns:a16="http://schemas.microsoft.com/office/drawing/2014/main" id="{85503858-6E84-43E2-AE0E-621F4B375B35}"/>
            </a:ext>
          </a:extLst>
        </xdr:cNvPr>
        <xdr:cNvSpPr/>
      </xdr:nvSpPr>
      <xdr:spPr>
        <a:xfrm>
          <a:off x="5079205" y="401478"/>
          <a:ext cx="1225153" cy="512921"/>
        </a:xfrm>
        <a:prstGeom prst="wedgeRoundRectCallout">
          <a:avLst>
            <a:gd name="adj1" fmla="val -21321"/>
            <a:gd name="adj2" fmla="val 83611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Here You can see</a:t>
          </a:r>
          <a:r>
            <a:rPr lang="en-US" sz="1100" baseline="0"/>
            <a:t> the Hidden Chart</a:t>
          </a:r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:\Users\exams\Downloads\3ff52e68-bc87-49f6-aaf0-ac41e8567d9b%20(2).xlsx" TargetMode="External"/><Relationship Id="rId1" Type="http://schemas.openxmlformats.org/officeDocument/2006/relationships/externalLinkPath" Target="file:///C:\Users\exams\Downloads\3ff52e68-bc87-49f6-aaf0-ac41e8567d9b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- Introduction Vlookup"/>
      <sheetName val="2- Range Lookup"/>
      <sheetName val="3- IF Error Vlookup"/>
      <sheetName val="4 - Nested Vlookup"/>
      <sheetName val="5- Filter Using Vlookup"/>
      <sheetName val="6 - Double Vlookup"/>
      <sheetName val="8 - Multi Sheet Vlookup"/>
      <sheetName val="DATA1"/>
      <sheetName val="DATA2"/>
      <sheetName val="DATA3"/>
      <sheetName val="8 - Vlookup on Workbook"/>
      <sheetName val="8 - Vlookup Interview Question"/>
      <sheetName val="New Data"/>
      <sheetName val="9 - Reverse Lookup with Choose"/>
      <sheetName val="10 - R-Lookup Index Match"/>
      <sheetName val="11 - Vlookup + Match"/>
      <sheetName val=" Backupdata"/>
      <sheetName val="12 - Vlookup with Find"/>
      <sheetName val="13 - 2 Lookups Value"/>
      <sheetName val="14 - Vlookup Twist"/>
      <sheetName val="15 - Use Vlookup to Create MIS "/>
    </sheetNames>
    <sheetDataSet>
      <sheetData sheetId="0">
        <row r="1">
          <cell r="A1" t="str">
            <v>Salesman ID</v>
          </cell>
          <cell r="B1" t="str">
            <v>Salesman</v>
          </cell>
          <cell r="C1" t="str">
            <v>Product</v>
          </cell>
          <cell r="D1" t="str">
            <v>Zone</v>
          </cell>
          <cell r="E1" t="str">
            <v>Sales</v>
          </cell>
        </row>
        <row r="2">
          <cell r="A2">
            <v>1001</v>
          </cell>
          <cell r="B2" t="str">
            <v>Shaktimaan</v>
          </cell>
          <cell r="C2" t="str">
            <v>Iodex</v>
          </cell>
          <cell r="D2" t="str">
            <v>South City</v>
          </cell>
          <cell r="E2">
            <v>45</v>
          </cell>
        </row>
        <row r="3">
          <cell r="A3">
            <v>1002</v>
          </cell>
          <cell r="B3" t="str">
            <v>Ironman</v>
          </cell>
          <cell r="C3" t="str">
            <v>Tigerbalm</v>
          </cell>
          <cell r="D3" t="str">
            <v>North City</v>
          </cell>
          <cell r="E3">
            <v>65</v>
          </cell>
        </row>
        <row r="4">
          <cell r="A4">
            <v>1003</v>
          </cell>
          <cell r="B4" t="str">
            <v>Superman</v>
          </cell>
          <cell r="C4" t="str">
            <v>Toothpaste</v>
          </cell>
          <cell r="D4" t="str">
            <v>West City</v>
          </cell>
          <cell r="E4">
            <v>32</v>
          </cell>
        </row>
        <row r="5">
          <cell r="A5">
            <v>1004</v>
          </cell>
          <cell r="B5" t="str">
            <v>Thor</v>
          </cell>
          <cell r="C5" t="str">
            <v>Toothbrush</v>
          </cell>
          <cell r="D5" t="str">
            <v>South City</v>
          </cell>
          <cell r="E5">
            <v>65</v>
          </cell>
        </row>
        <row r="6">
          <cell r="A6">
            <v>1005</v>
          </cell>
          <cell r="B6" t="str">
            <v>Batman</v>
          </cell>
          <cell r="C6" t="str">
            <v>Iodex</v>
          </cell>
          <cell r="D6" t="str">
            <v>North City</v>
          </cell>
          <cell r="E6">
            <v>98</v>
          </cell>
        </row>
        <row r="7">
          <cell r="A7">
            <v>1006</v>
          </cell>
          <cell r="B7" t="str">
            <v>Spiderman</v>
          </cell>
          <cell r="C7" t="str">
            <v>Tigerbalm</v>
          </cell>
          <cell r="D7" t="str">
            <v>West City</v>
          </cell>
          <cell r="E7">
            <v>65</v>
          </cell>
        </row>
        <row r="8">
          <cell r="A8">
            <v>1007</v>
          </cell>
          <cell r="B8" t="str">
            <v>Antman</v>
          </cell>
          <cell r="C8" t="str">
            <v>Toothbrush</v>
          </cell>
          <cell r="D8" t="str">
            <v>South City</v>
          </cell>
          <cell r="E8">
            <v>32</v>
          </cell>
        </row>
        <row r="9">
          <cell r="A9">
            <v>1008</v>
          </cell>
          <cell r="B9" t="str">
            <v>Hitman</v>
          </cell>
          <cell r="C9" t="str">
            <v>Zandubalm</v>
          </cell>
          <cell r="D9" t="str">
            <v>North City</v>
          </cell>
          <cell r="E9">
            <v>65</v>
          </cell>
        </row>
        <row r="10">
          <cell r="A10">
            <v>1009</v>
          </cell>
          <cell r="B10" t="str">
            <v>Ratman</v>
          </cell>
          <cell r="C10" t="str">
            <v>Zandubalm</v>
          </cell>
          <cell r="D10" t="str">
            <v>West City</v>
          </cell>
          <cell r="E10">
            <v>54</v>
          </cell>
        </row>
        <row r="11">
          <cell r="A11">
            <v>1010</v>
          </cell>
          <cell r="B11" t="str">
            <v>Netman</v>
          </cell>
          <cell r="C11" t="str">
            <v>Tigerbalm</v>
          </cell>
          <cell r="D11" t="str">
            <v>South City</v>
          </cell>
          <cell r="E11">
            <v>65</v>
          </cell>
        </row>
      </sheetData>
      <sheetData sheetId="1">
        <row r="1">
          <cell r="I1" t="str">
            <v>Traget</v>
          </cell>
          <cell r="J1" t="str">
            <v>Performance</v>
          </cell>
        </row>
        <row r="2">
          <cell r="I2">
            <v>0</v>
          </cell>
          <cell r="J2" t="str">
            <v>Poor</v>
          </cell>
        </row>
        <row r="3">
          <cell r="I3">
            <v>35</v>
          </cell>
          <cell r="J3" t="str">
            <v>Average</v>
          </cell>
        </row>
        <row r="4">
          <cell r="I4">
            <v>60</v>
          </cell>
          <cell r="J4" t="str">
            <v>Good</v>
          </cell>
        </row>
        <row r="5">
          <cell r="I5">
            <v>80</v>
          </cell>
          <cell r="J5" t="str">
            <v>Best</v>
          </cell>
        </row>
        <row r="8">
          <cell r="I8" t="str">
            <v>Zone</v>
          </cell>
          <cell r="J8" t="str">
            <v>Area Code</v>
          </cell>
        </row>
        <row r="9">
          <cell r="I9" t="str">
            <v>South City</v>
          </cell>
          <cell r="J9">
            <v>400085</v>
          </cell>
        </row>
        <row r="10">
          <cell r="I10" t="str">
            <v>North City</v>
          </cell>
          <cell r="J10">
            <v>400075</v>
          </cell>
        </row>
        <row r="11">
          <cell r="I11" t="str">
            <v>West City</v>
          </cell>
          <cell r="J11">
            <v>400089</v>
          </cell>
        </row>
      </sheetData>
      <sheetData sheetId="2">
        <row r="1">
          <cell r="A1" t="str">
            <v>Salesman ID</v>
          </cell>
          <cell r="B1" t="str">
            <v>Salesman</v>
          </cell>
          <cell r="C1" t="str">
            <v>Product</v>
          </cell>
          <cell r="D1" t="str">
            <v>Zone</v>
          </cell>
          <cell r="E1" t="str">
            <v>Sales</v>
          </cell>
        </row>
        <row r="2">
          <cell r="A2">
            <v>1001</v>
          </cell>
          <cell r="B2" t="str">
            <v>Shaktimaan</v>
          </cell>
          <cell r="C2" t="str">
            <v>Iodex</v>
          </cell>
          <cell r="D2" t="str">
            <v>South City</v>
          </cell>
          <cell r="E2">
            <v>45</v>
          </cell>
        </row>
        <row r="3">
          <cell r="A3">
            <v>1002</v>
          </cell>
          <cell r="B3" t="str">
            <v>Ironman</v>
          </cell>
          <cell r="C3" t="str">
            <v>Tigerbalm</v>
          </cell>
          <cell r="D3" t="str">
            <v>North City</v>
          </cell>
          <cell r="E3">
            <v>65</v>
          </cell>
        </row>
        <row r="4">
          <cell r="A4">
            <v>1003</v>
          </cell>
          <cell r="B4" t="str">
            <v>Superman</v>
          </cell>
          <cell r="C4" t="str">
            <v>Toothpaste</v>
          </cell>
          <cell r="D4" t="str">
            <v>West City</v>
          </cell>
          <cell r="E4">
            <v>32</v>
          </cell>
        </row>
        <row r="5">
          <cell r="A5">
            <v>1004</v>
          </cell>
          <cell r="B5" t="str">
            <v>Thor</v>
          </cell>
          <cell r="C5" t="str">
            <v>Toothbrush</v>
          </cell>
          <cell r="D5" t="str">
            <v>South City</v>
          </cell>
          <cell r="E5">
            <v>65</v>
          </cell>
        </row>
        <row r="6">
          <cell r="A6">
            <v>1005</v>
          </cell>
          <cell r="B6" t="str">
            <v>Batman</v>
          </cell>
          <cell r="C6" t="str">
            <v>Iodex</v>
          </cell>
          <cell r="D6" t="str">
            <v>North City</v>
          </cell>
          <cell r="E6">
            <v>98</v>
          </cell>
        </row>
        <row r="7">
          <cell r="A7">
            <v>1006</v>
          </cell>
          <cell r="B7" t="str">
            <v>Spiderman</v>
          </cell>
          <cell r="C7" t="str">
            <v>Tigerbalm</v>
          </cell>
          <cell r="D7" t="str">
            <v>West City</v>
          </cell>
          <cell r="E7">
            <v>65</v>
          </cell>
        </row>
        <row r="8">
          <cell r="A8">
            <v>1007</v>
          </cell>
          <cell r="B8" t="str">
            <v>Antman</v>
          </cell>
          <cell r="C8" t="str">
            <v>Toothbrush</v>
          </cell>
          <cell r="D8" t="str">
            <v>South City</v>
          </cell>
          <cell r="E8">
            <v>32</v>
          </cell>
        </row>
        <row r="9">
          <cell r="A9">
            <v>1008</v>
          </cell>
          <cell r="B9" t="str">
            <v>Hitman</v>
          </cell>
          <cell r="C9" t="str">
            <v>Zandubalm</v>
          </cell>
          <cell r="D9" t="str">
            <v>North City</v>
          </cell>
          <cell r="E9">
            <v>65</v>
          </cell>
        </row>
        <row r="10">
          <cell r="A10">
            <v>1009</v>
          </cell>
          <cell r="B10" t="str">
            <v>Ratman</v>
          </cell>
          <cell r="C10" t="str">
            <v>Zandubalm</v>
          </cell>
          <cell r="D10" t="str">
            <v>West City</v>
          </cell>
          <cell r="E10">
            <v>54</v>
          </cell>
        </row>
        <row r="11">
          <cell r="A11">
            <v>1010</v>
          </cell>
          <cell r="B11" t="str">
            <v>Netman</v>
          </cell>
          <cell r="C11" t="str">
            <v>Tigerbalm</v>
          </cell>
          <cell r="D11" t="str">
            <v>South City</v>
          </cell>
          <cell r="E11">
            <v>65</v>
          </cell>
        </row>
      </sheetData>
      <sheetData sheetId="3">
        <row r="1">
          <cell r="A1" t="str">
            <v>Salesman ID</v>
          </cell>
          <cell r="B1" t="str">
            <v>Product ID</v>
          </cell>
          <cell r="D1" t="str">
            <v>Product ID</v>
          </cell>
          <cell r="E1" t="str">
            <v>Salesman</v>
          </cell>
          <cell r="F1" t="str">
            <v>Product</v>
          </cell>
          <cell r="G1" t="str">
            <v>Zone</v>
          </cell>
          <cell r="H1" t="str">
            <v>Sales</v>
          </cell>
        </row>
        <row r="2">
          <cell r="A2">
            <v>1001</v>
          </cell>
          <cell r="B2" t="str">
            <v>Pr1001</v>
          </cell>
          <cell r="D2" t="str">
            <v>Pr1001</v>
          </cell>
          <cell r="E2" t="str">
            <v>Shaktimaan</v>
          </cell>
          <cell r="F2" t="str">
            <v>Iodex</v>
          </cell>
          <cell r="G2" t="str">
            <v>South City</v>
          </cell>
          <cell r="H2">
            <v>45</v>
          </cell>
        </row>
        <row r="3">
          <cell r="A3">
            <v>1002</v>
          </cell>
          <cell r="B3" t="str">
            <v>Pr1002</v>
          </cell>
          <cell r="D3" t="str">
            <v>Pr1002</v>
          </cell>
          <cell r="E3" t="str">
            <v>Ironman</v>
          </cell>
          <cell r="F3" t="str">
            <v>Tigerbalm</v>
          </cell>
          <cell r="G3" t="str">
            <v>North City</v>
          </cell>
          <cell r="H3">
            <v>65</v>
          </cell>
        </row>
        <row r="4">
          <cell r="A4">
            <v>1003</v>
          </cell>
          <cell r="B4" t="str">
            <v>Pr1003</v>
          </cell>
          <cell r="D4" t="str">
            <v>Pr1003</v>
          </cell>
          <cell r="E4" t="str">
            <v>Superman</v>
          </cell>
          <cell r="F4" t="str">
            <v>Toothpaste</v>
          </cell>
          <cell r="G4" t="str">
            <v>West City</v>
          </cell>
          <cell r="H4">
            <v>32</v>
          </cell>
        </row>
        <row r="5">
          <cell r="A5">
            <v>1004</v>
          </cell>
          <cell r="B5" t="str">
            <v>Pr1004</v>
          </cell>
          <cell r="D5" t="str">
            <v>Pr1004</v>
          </cell>
          <cell r="E5" t="str">
            <v>Thor</v>
          </cell>
          <cell r="F5" t="str">
            <v>Toothbrush</v>
          </cell>
          <cell r="G5" t="str">
            <v>South City</v>
          </cell>
          <cell r="H5">
            <v>65</v>
          </cell>
        </row>
        <row r="6">
          <cell r="A6">
            <v>1005</v>
          </cell>
          <cell r="B6" t="str">
            <v>Pr1005</v>
          </cell>
          <cell r="D6" t="str">
            <v>Pr1005</v>
          </cell>
          <cell r="E6" t="str">
            <v>Batman</v>
          </cell>
          <cell r="F6" t="str">
            <v>Iodex</v>
          </cell>
          <cell r="G6" t="str">
            <v>North City</v>
          </cell>
          <cell r="H6">
            <v>98</v>
          </cell>
        </row>
        <row r="7">
          <cell r="A7">
            <v>1006</v>
          </cell>
          <cell r="B7" t="str">
            <v>Pr1006</v>
          </cell>
          <cell r="D7" t="str">
            <v>Pr1006</v>
          </cell>
          <cell r="E7" t="str">
            <v>Spiderman</v>
          </cell>
          <cell r="F7" t="str">
            <v>Tigerbalm</v>
          </cell>
          <cell r="G7" t="str">
            <v>West City</v>
          </cell>
          <cell r="H7">
            <v>65</v>
          </cell>
        </row>
        <row r="8">
          <cell r="A8">
            <v>1007</v>
          </cell>
          <cell r="B8" t="str">
            <v>Pr1007</v>
          </cell>
          <cell r="D8" t="str">
            <v>Pr1007</v>
          </cell>
          <cell r="E8" t="str">
            <v>Antman</v>
          </cell>
          <cell r="F8" t="str">
            <v>Toothbrush</v>
          </cell>
          <cell r="G8" t="str">
            <v>South City</v>
          </cell>
          <cell r="H8">
            <v>32</v>
          </cell>
        </row>
        <row r="9">
          <cell r="A9">
            <v>1008</v>
          </cell>
          <cell r="B9" t="str">
            <v>Pr1008</v>
          </cell>
          <cell r="D9" t="str">
            <v>Pr1008</v>
          </cell>
          <cell r="E9" t="str">
            <v>Hitman</v>
          </cell>
          <cell r="F9" t="str">
            <v>Zandubalm</v>
          </cell>
          <cell r="G9" t="str">
            <v>North City</v>
          </cell>
          <cell r="H9">
            <v>65</v>
          </cell>
        </row>
        <row r="10">
          <cell r="A10">
            <v>1009</v>
          </cell>
          <cell r="B10" t="str">
            <v>Pr1009</v>
          </cell>
          <cell r="D10" t="str">
            <v>Pr1009</v>
          </cell>
          <cell r="E10" t="str">
            <v>Ratman</v>
          </cell>
          <cell r="F10" t="str">
            <v>Zandubalm</v>
          </cell>
          <cell r="G10" t="str">
            <v>West City</v>
          </cell>
          <cell r="H10">
            <v>54</v>
          </cell>
        </row>
        <row r="11">
          <cell r="A11">
            <v>1010</v>
          </cell>
          <cell r="B11" t="str">
            <v>Pr1010</v>
          </cell>
          <cell r="D11" t="str">
            <v>Pr1010</v>
          </cell>
          <cell r="E11" t="str">
            <v>Netman</v>
          </cell>
          <cell r="F11" t="str">
            <v>Tigerbalm</v>
          </cell>
          <cell r="G11" t="str">
            <v>South City</v>
          </cell>
          <cell r="H11">
            <v>65</v>
          </cell>
        </row>
      </sheetData>
      <sheetData sheetId="4"/>
      <sheetData sheetId="5">
        <row r="1">
          <cell r="A1" t="str">
            <v>Product ID</v>
          </cell>
          <cell r="B1" t="str">
            <v>Bill No</v>
          </cell>
          <cell r="C1" t="str">
            <v>Salesman</v>
          </cell>
          <cell r="D1" t="str">
            <v>Product</v>
          </cell>
          <cell r="E1" t="str">
            <v>Zone</v>
          </cell>
          <cell r="F1" t="str">
            <v>Sales</v>
          </cell>
        </row>
        <row r="2">
          <cell r="A2">
            <v>1231</v>
          </cell>
          <cell r="B2" t="str">
            <v>LM-001</v>
          </cell>
          <cell r="C2" t="str">
            <v>Shaktimaan</v>
          </cell>
          <cell r="D2" t="str">
            <v>Iodex</v>
          </cell>
          <cell r="E2" t="str">
            <v>South City</v>
          </cell>
          <cell r="F2">
            <v>45</v>
          </cell>
        </row>
        <row r="3">
          <cell r="A3">
            <v>1232</v>
          </cell>
          <cell r="B3" t="str">
            <v>LM-002</v>
          </cell>
          <cell r="C3" t="str">
            <v>Ironman</v>
          </cell>
          <cell r="D3" t="str">
            <v>Tigerbalm</v>
          </cell>
          <cell r="E3" t="str">
            <v>North City</v>
          </cell>
          <cell r="F3">
            <v>65</v>
          </cell>
        </row>
        <row r="4">
          <cell r="A4">
            <v>1233</v>
          </cell>
          <cell r="B4" t="str">
            <v>LM-003</v>
          </cell>
          <cell r="C4" t="str">
            <v>Superman</v>
          </cell>
          <cell r="D4" t="str">
            <v>Toothpaste</v>
          </cell>
          <cell r="E4" t="str">
            <v>West City</v>
          </cell>
          <cell r="F4">
            <v>32</v>
          </cell>
        </row>
        <row r="5">
          <cell r="A5">
            <v>1234</v>
          </cell>
          <cell r="B5" t="str">
            <v>LM-004</v>
          </cell>
          <cell r="C5" t="str">
            <v>Thor</v>
          </cell>
          <cell r="D5" t="str">
            <v>Toothbrush</v>
          </cell>
          <cell r="E5" t="str">
            <v>South City</v>
          </cell>
          <cell r="F5">
            <v>65</v>
          </cell>
        </row>
        <row r="6">
          <cell r="A6">
            <v>1235</v>
          </cell>
          <cell r="B6" t="str">
            <v>LM-005</v>
          </cell>
          <cell r="C6" t="str">
            <v>Batman</v>
          </cell>
          <cell r="D6" t="str">
            <v>Iodex</v>
          </cell>
          <cell r="E6" t="str">
            <v>North City</v>
          </cell>
          <cell r="F6">
            <v>98</v>
          </cell>
        </row>
        <row r="7">
          <cell r="A7">
            <v>1236</v>
          </cell>
          <cell r="B7" t="str">
            <v>LM-006</v>
          </cell>
          <cell r="C7" t="str">
            <v>Spiderman</v>
          </cell>
          <cell r="D7" t="str">
            <v>Tigerbalm</v>
          </cell>
          <cell r="E7" t="str">
            <v>West City</v>
          </cell>
          <cell r="F7">
            <v>65</v>
          </cell>
        </row>
        <row r="8">
          <cell r="A8">
            <v>1237</v>
          </cell>
          <cell r="B8" t="str">
            <v>LM-007</v>
          </cell>
          <cell r="C8" t="str">
            <v>Antman</v>
          </cell>
          <cell r="D8" t="str">
            <v>Toothbrush</v>
          </cell>
          <cell r="E8" t="str">
            <v>South City</v>
          </cell>
          <cell r="F8">
            <v>32</v>
          </cell>
        </row>
        <row r="9">
          <cell r="A9">
            <v>1238</v>
          </cell>
          <cell r="B9" t="str">
            <v>LM-008</v>
          </cell>
          <cell r="C9" t="str">
            <v>Hitman</v>
          </cell>
          <cell r="D9" t="str">
            <v>Zandubalm</v>
          </cell>
          <cell r="E9" t="str">
            <v>North City</v>
          </cell>
          <cell r="F9">
            <v>65</v>
          </cell>
        </row>
        <row r="10">
          <cell r="A10">
            <v>1239</v>
          </cell>
          <cell r="B10" t="str">
            <v>LM-009</v>
          </cell>
          <cell r="C10" t="str">
            <v>Ratman</v>
          </cell>
          <cell r="D10" t="str">
            <v>Zandubalm</v>
          </cell>
          <cell r="E10" t="str">
            <v>West City</v>
          </cell>
          <cell r="F10">
            <v>54</v>
          </cell>
        </row>
        <row r="11">
          <cell r="A11">
            <v>1240</v>
          </cell>
          <cell r="B11" t="str">
            <v>LM-010</v>
          </cell>
          <cell r="C11" t="str">
            <v>Netman</v>
          </cell>
          <cell r="D11" t="str">
            <v>Tigerbalm</v>
          </cell>
          <cell r="E11" t="str">
            <v>South City</v>
          </cell>
          <cell r="F11">
            <v>65</v>
          </cell>
        </row>
      </sheetData>
      <sheetData sheetId="6"/>
      <sheetData sheetId="7">
        <row r="2">
          <cell r="A2" t="str">
            <v>Bill No.</v>
          </cell>
          <cell r="B2" t="str">
            <v>Product</v>
          </cell>
        </row>
        <row r="3">
          <cell r="A3">
            <v>1001</v>
          </cell>
          <cell r="B3" t="str">
            <v>Keyboard</v>
          </cell>
        </row>
        <row r="4">
          <cell r="A4">
            <v>1002</v>
          </cell>
          <cell r="B4" t="str">
            <v>LCD</v>
          </cell>
        </row>
        <row r="5">
          <cell r="A5">
            <v>1003</v>
          </cell>
          <cell r="B5" t="str">
            <v>Mouse</v>
          </cell>
        </row>
        <row r="6">
          <cell r="A6">
            <v>1004</v>
          </cell>
          <cell r="B6" t="str">
            <v>Mouse</v>
          </cell>
        </row>
        <row r="7">
          <cell r="A7">
            <v>1005</v>
          </cell>
          <cell r="B7" t="str">
            <v>Headphone</v>
          </cell>
        </row>
        <row r="8">
          <cell r="A8">
            <v>1006</v>
          </cell>
          <cell r="B8" t="str">
            <v>Pendrive</v>
          </cell>
        </row>
        <row r="9">
          <cell r="A9">
            <v>1007</v>
          </cell>
          <cell r="B9" t="str">
            <v>HDD</v>
          </cell>
        </row>
        <row r="10">
          <cell r="A10">
            <v>1008</v>
          </cell>
          <cell r="B10" t="str">
            <v>SSD</v>
          </cell>
        </row>
        <row r="11">
          <cell r="A11">
            <v>1009</v>
          </cell>
          <cell r="B11" t="str">
            <v>HDD</v>
          </cell>
        </row>
        <row r="12">
          <cell r="A12">
            <v>1010</v>
          </cell>
          <cell r="B12" t="str">
            <v>LCD</v>
          </cell>
        </row>
      </sheetData>
      <sheetData sheetId="8">
        <row r="2">
          <cell r="A2" t="str">
            <v>Bill No.</v>
          </cell>
          <cell r="B2" t="str">
            <v>Quantity</v>
          </cell>
        </row>
        <row r="3">
          <cell r="A3">
            <v>1001</v>
          </cell>
          <cell r="B3">
            <v>45</v>
          </cell>
        </row>
        <row r="4">
          <cell r="A4">
            <v>1002</v>
          </cell>
          <cell r="B4">
            <v>35</v>
          </cell>
        </row>
        <row r="5">
          <cell r="A5">
            <v>1003</v>
          </cell>
          <cell r="B5">
            <v>25</v>
          </cell>
        </row>
        <row r="6">
          <cell r="A6">
            <v>1004</v>
          </cell>
          <cell r="B6">
            <v>25</v>
          </cell>
        </row>
        <row r="7">
          <cell r="A7">
            <v>1005</v>
          </cell>
          <cell r="B7">
            <v>25</v>
          </cell>
        </row>
        <row r="8">
          <cell r="A8">
            <v>1006</v>
          </cell>
          <cell r="B8">
            <v>25</v>
          </cell>
        </row>
        <row r="9">
          <cell r="A9">
            <v>1007</v>
          </cell>
          <cell r="B9">
            <v>25</v>
          </cell>
        </row>
        <row r="10">
          <cell r="A10">
            <v>1008</v>
          </cell>
          <cell r="B10">
            <v>25</v>
          </cell>
        </row>
        <row r="11">
          <cell r="A11">
            <v>1009</v>
          </cell>
          <cell r="B11">
            <v>34</v>
          </cell>
        </row>
        <row r="12">
          <cell r="A12">
            <v>1010</v>
          </cell>
          <cell r="B12">
            <v>55</v>
          </cell>
        </row>
      </sheetData>
      <sheetData sheetId="9">
        <row r="2">
          <cell r="A2" t="str">
            <v>Bill No.</v>
          </cell>
          <cell r="B2" t="str">
            <v>Zone</v>
          </cell>
        </row>
        <row r="3">
          <cell r="A3">
            <v>1001</v>
          </cell>
          <cell r="B3" t="str">
            <v>South</v>
          </cell>
        </row>
        <row r="4">
          <cell r="A4">
            <v>1002</v>
          </cell>
          <cell r="B4" t="str">
            <v>West</v>
          </cell>
        </row>
        <row r="5">
          <cell r="A5">
            <v>1003</v>
          </cell>
          <cell r="B5" t="str">
            <v>East</v>
          </cell>
        </row>
        <row r="6">
          <cell r="A6">
            <v>1004</v>
          </cell>
          <cell r="B6" t="str">
            <v>South</v>
          </cell>
        </row>
        <row r="7">
          <cell r="A7">
            <v>1005</v>
          </cell>
          <cell r="B7" t="str">
            <v>North</v>
          </cell>
        </row>
        <row r="8">
          <cell r="A8">
            <v>1006</v>
          </cell>
          <cell r="B8" t="str">
            <v>South</v>
          </cell>
        </row>
        <row r="9">
          <cell r="A9">
            <v>1007</v>
          </cell>
          <cell r="B9" t="str">
            <v>West</v>
          </cell>
        </row>
        <row r="10">
          <cell r="A10">
            <v>1008</v>
          </cell>
          <cell r="B10" t="str">
            <v>South</v>
          </cell>
        </row>
        <row r="11">
          <cell r="A11">
            <v>1009</v>
          </cell>
          <cell r="B11" t="str">
            <v>West</v>
          </cell>
        </row>
        <row r="12">
          <cell r="A12">
            <v>1010</v>
          </cell>
          <cell r="B12" t="str">
            <v>North</v>
          </cell>
        </row>
      </sheetData>
      <sheetData sheetId="10"/>
      <sheetData sheetId="11"/>
      <sheetData sheetId="12">
        <row r="1">
          <cell r="A1" t="str">
            <v>Company Name</v>
          </cell>
          <cell r="B1" t="str">
            <v>Location</v>
          </cell>
        </row>
        <row r="2">
          <cell r="A2" t="str">
            <v>Ganesh Pvt. LTD</v>
          </cell>
          <cell r="B2" t="str">
            <v>Pune</v>
          </cell>
        </row>
        <row r="3">
          <cell r="A3" t="str">
            <v>Sachin Traders</v>
          </cell>
          <cell r="B3" t="str">
            <v>Chennai</v>
          </cell>
        </row>
        <row r="4">
          <cell r="A4" t="str">
            <v>Sanghani Brothers</v>
          </cell>
          <cell r="B4" t="str">
            <v>Surat</v>
          </cell>
        </row>
      </sheetData>
      <sheetData sheetId="13"/>
      <sheetData sheetId="14"/>
      <sheetData sheetId="15"/>
      <sheetData sheetId="16">
        <row r="1">
          <cell r="A1" t="str">
            <v>PRODUCT</v>
          </cell>
          <cell r="B1" t="str">
            <v>Jan</v>
          </cell>
          <cell r="C1" t="str">
            <v>Feb</v>
          </cell>
          <cell r="D1" t="str">
            <v>Mar</v>
          </cell>
          <cell r="E1" t="str">
            <v>Apr</v>
          </cell>
          <cell r="F1" t="str">
            <v>May</v>
          </cell>
          <cell r="G1" t="str">
            <v>Jun</v>
          </cell>
          <cell r="H1" t="str">
            <v>Jul</v>
          </cell>
          <cell r="I1" t="str">
            <v>Aug</v>
          </cell>
          <cell r="J1" t="str">
            <v>Sep</v>
          </cell>
          <cell r="K1" t="str">
            <v>Oct</v>
          </cell>
          <cell r="L1" t="str">
            <v>Nov</v>
          </cell>
          <cell r="M1" t="str">
            <v>Dec</v>
          </cell>
        </row>
        <row r="2">
          <cell r="A2" t="str">
            <v>KEYBOARD</v>
          </cell>
          <cell r="B2">
            <v>144</v>
          </cell>
          <cell r="C2">
            <v>131</v>
          </cell>
          <cell r="D2">
            <v>134</v>
          </cell>
          <cell r="E2">
            <v>120</v>
          </cell>
          <cell r="F2">
            <v>143</v>
          </cell>
          <cell r="G2">
            <v>173</v>
          </cell>
          <cell r="H2">
            <v>154</v>
          </cell>
          <cell r="I2">
            <v>190</v>
          </cell>
          <cell r="J2">
            <v>113</v>
          </cell>
          <cell r="K2">
            <v>130</v>
          </cell>
          <cell r="L2">
            <v>120</v>
          </cell>
          <cell r="M2">
            <v>127</v>
          </cell>
        </row>
        <row r="3">
          <cell r="A3" t="str">
            <v>MOUSE</v>
          </cell>
          <cell r="B3">
            <v>185</v>
          </cell>
          <cell r="C3">
            <v>180</v>
          </cell>
          <cell r="D3">
            <v>114</v>
          </cell>
          <cell r="E3">
            <v>160</v>
          </cell>
          <cell r="F3">
            <v>138</v>
          </cell>
          <cell r="G3">
            <v>112</v>
          </cell>
          <cell r="H3">
            <v>200</v>
          </cell>
          <cell r="I3">
            <v>158</v>
          </cell>
          <cell r="J3">
            <v>181</v>
          </cell>
          <cell r="K3">
            <v>138</v>
          </cell>
          <cell r="L3">
            <v>116</v>
          </cell>
          <cell r="M3">
            <v>170</v>
          </cell>
        </row>
        <row r="4">
          <cell r="A4" t="str">
            <v>MONITOR</v>
          </cell>
          <cell r="B4">
            <v>114</v>
          </cell>
          <cell r="C4">
            <v>152</v>
          </cell>
          <cell r="D4">
            <v>164</v>
          </cell>
          <cell r="E4">
            <v>169</v>
          </cell>
          <cell r="F4">
            <v>119</v>
          </cell>
          <cell r="G4">
            <v>141</v>
          </cell>
          <cell r="H4">
            <v>179</v>
          </cell>
          <cell r="I4">
            <v>126</v>
          </cell>
          <cell r="J4">
            <v>119</v>
          </cell>
          <cell r="K4">
            <v>109</v>
          </cell>
          <cell r="L4">
            <v>196</v>
          </cell>
          <cell r="M4">
            <v>141</v>
          </cell>
        </row>
        <row r="5">
          <cell r="A5" t="str">
            <v>LED</v>
          </cell>
          <cell r="B5">
            <v>196</v>
          </cell>
          <cell r="C5">
            <v>118</v>
          </cell>
          <cell r="D5">
            <v>183</v>
          </cell>
          <cell r="E5">
            <v>145</v>
          </cell>
          <cell r="F5">
            <v>126</v>
          </cell>
          <cell r="G5">
            <v>157</v>
          </cell>
          <cell r="H5">
            <v>156</v>
          </cell>
          <cell r="I5">
            <v>175</v>
          </cell>
          <cell r="J5">
            <v>107</v>
          </cell>
          <cell r="K5">
            <v>112</v>
          </cell>
          <cell r="L5">
            <v>164</v>
          </cell>
          <cell r="M5">
            <v>104</v>
          </cell>
        </row>
        <row r="6">
          <cell r="A6" t="str">
            <v>LCD</v>
          </cell>
          <cell r="B6">
            <v>193</v>
          </cell>
          <cell r="C6">
            <v>111</v>
          </cell>
          <cell r="D6">
            <v>174</v>
          </cell>
          <cell r="E6">
            <v>143</v>
          </cell>
          <cell r="F6">
            <v>162</v>
          </cell>
          <cell r="G6">
            <v>145</v>
          </cell>
          <cell r="H6">
            <v>177</v>
          </cell>
          <cell r="I6">
            <v>182</v>
          </cell>
          <cell r="J6">
            <v>164</v>
          </cell>
          <cell r="K6">
            <v>152</v>
          </cell>
          <cell r="L6">
            <v>147</v>
          </cell>
          <cell r="M6">
            <v>178</v>
          </cell>
        </row>
        <row r="7">
          <cell r="A7" t="str">
            <v>PENDRIVE</v>
          </cell>
          <cell r="B7">
            <v>122</v>
          </cell>
          <cell r="C7">
            <v>164</v>
          </cell>
          <cell r="D7">
            <v>152</v>
          </cell>
          <cell r="E7">
            <v>133</v>
          </cell>
          <cell r="F7">
            <v>118</v>
          </cell>
          <cell r="G7">
            <v>132</v>
          </cell>
          <cell r="H7">
            <v>158</v>
          </cell>
          <cell r="I7">
            <v>159</v>
          </cell>
          <cell r="J7">
            <v>175</v>
          </cell>
          <cell r="K7">
            <v>150</v>
          </cell>
          <cell r="L7">
            <v>127</v>
          </cell>
          <cell r="M7">
            <v>137</v>
          </cell>
        </row>
      </sheetData>
      <sheetData sheetId="17">
        <row r="1">
          <cell r="A1" t="str">
            <v>Product</v>
          </cell>
          <cell r="B1" t="str">
            <v>Branch</v>
          </cell>
          <cell r="C1" t="str">
            <v>Product ID</v>
          </cell>
          <cell r="D1" t="str">
            <v>Price</v>
          </cell>
        </row>
        <row r="2">
          <cell r="A2" t="str">
            <v>1100012311,11234901,11</v>
          </cell>
          <cell r="B2" t="str">
            <v>Delhi</v>
          </cell>
          <cell r="C2" t="str">
            <v>1100-234</v>
          </cell>
          <cell r="D2">
            <v>4479</v>
          </cell>
        </row>
        <row r="3">
          <cell r="A3">
            <v>1100012312</v>
          </cell>
          <cell r="B3" t="str">
            <v>Mumbai</v>
          </cell>
          <cell r="C3" t="str">
            <v>1100-235</v>
          </cell>
          <cell r="D3">
            <v>4210</v>
          </cell>
        </row>
        <row r="4">
          <cell r="A4" t="str">
            <v>1100012313,1123121,23</v>
          </cell>
          <cell r="B4" t="str">
            <v>Bangluru</v>
          </cell>
          <cell r="C4" t="str">
            <v>1100-236</v>
          </cell>
          <cell r="D4">
            <v>3660</v>
          </cell>
        </row>
        <row r="5">
          <cell r="A5">
            <v>1100012314</v>
          </cell>
          <cell r="B5" t="str">
            <v>Bhopal</v>
          </cell>
          <cell r="C5" t="str">
            <v>1100-324</v>
          </cell>
          <cell r="D5">
            <v>3992</v>
          </cell>
        </row>
        <row r="6">
          <cell r="A6">
            <v>1100012315</v>
          </cell>
          <cell r="B6" t="str">
            <v>Delhi</v>
          </cell>
          <cell r="C6" t="str">
            <v>1100-453</v>
          </cell>
          <cell r="D6">
            <v>4331</v>
          </cell>
        </row>
        <row r="7">
          <cell r="A7" t="str">
            <v>1100012316,234,3</v>
          </cell>
          <cell r="B7" t="str">
            <v>Mumbai</v>
          </cell>
          <cell r="C7" t="str">
            <v>1100-568</v>
          </cell>
          <cell r="D7">
            <v>4191</v>
          </cell>
        </row>
        <row r="8">
          <cell r="A8" t="str">
            <v>1100012317,0</v>
          </cell>
          <cell r="B8" t="str">
            <v>Bangluru</v>
          </cell>
          <cell r="C8" t="str">
            <v>1100-230</v>
          </cell>
          <cell r="D8">
            <v>3796</v>
          </cell>
        </row>
        <row r="9">
          <cell r="A9" t="str">
            <v>1520, 1100012318</v>
          </cell>
          <cell r="B9" t="str">
            <v>Bhopal</v>
          </cell>
          <cell r="C9" t="str">
            <v>1100-987</v>
          </cell>
          <cell r="D9">
            <v>4148</v>
          </cell>
        </row>
        <row r="10">
          <cell r="A10">
            <v>1100012319</v>
          </cell>
          <cell r="B10" t="str">
            <v>Bhopal</v>
          </cell>
          <cell r="C10" t="str">
            <v>1100-345</v>
          </cell>
          <cell r="D10">
            <v>4544</v>
          </cell>
        </row>
        <row r="11">
          <cell r="A11" t="str">
            <v>1100012320,345,90</v>
          </cell>
          <cell r="B11" t="str">
            <v>Mumbai</v>
          </cell>
          <cell r="C11" t="str">
            <v>1100-090</v>
          </cell>
          <cell r="D11">
            <v>4344</v>
          </cell>
        </row>
        <row r="12">
          <cell r="A12" t="str">
            <v>85,1100012321,89</v>
          </cell>
          <cell r="B12" t="str">
            <v>Ghaziabad</v>
          </cell>
          <cell r="C12" t="str">
            <v>1100-212</v>
          </cell>
          <cell r="D12">
            <v>3696</v>
          </cell>
        </row>
        <row r="13">
          <cell r="A13" t="str">
            <v>1100012322,90,76777</v>
          </cell>
          <cell r="B13" t="str">
            <v>Ghaziabad</v>
          </cell>
          <cell r="C13" t="str">
            <v>1100-467</v>
          </cell>
          <cell r="D13">
            <v>4260</v>
          </cell>
        </row>
      </sheetData>
      <sheetData sheetId="18">
        <row r="1">
          <cell r="A1" t="str">
            <v>Support</v>
          </cell>
          <cell r="B1" t="str">
            <v>Name</v>
          </cell>
          <cell r="C1" t="str">
            <v>Course</v>
          </cell>
          <cell r="D1" t="str">
            <v>Paid Fees</v>
          </cell>
        </row>
        <row r="2">
          <cell r="A2" t="str">
            <v>Ajay SharmaTally</v>
          </cell>
          <cell r="B2" t="str">
            <v>Ajay Sharma</v>
          </cell>
          <cell r="C2" t="str">
            <v>Tally</v>
          </cell>
          <cell r="D2">
            <v>1500</v>
          </cell>
        </row>
        <row r="3">
          <cell r="A3" t="str">
            <v>Vikas SinghExcel</v>
          </cell>
          <cell r="B3" t="str">
            <v>Vikas Singh</v>
          </cell>
          <cell r="C3" t="str">
            <v>Excel</v>
          </cell>
          <cell r="D3">
            <v>3500</v>
          </cell>
        </row>
        <row r="4">
          <cell r="A4" t="str">
            <v>Raj JadhavTally</v>
          </cell>
          <cell r="B4" t="str">
            <v>Raj Jadhav</v>
          </cell>
          <cell r="C4" t="str">
            <v>Tally</v>
          </cell>
          <cell r="D4">
            <v>3500</v>
          </cell>
        </row>
        <row r="5">
          <cell r="A5" t="str">
            <v>Anil KumarExcel</v>
          </cell>
          <cell r="B5" t="str">
            <v>Anil Kumar</v>
          </cell>
          <cell r="C5" t="str">
            <v>Excel</v>
          </cell>
          <cell r="D5">
            <v>1500</v>
          </cell>
        </row>
        <row r="6">
          <cell r="A6" t="str">
            <v>Vikas SinghTally</v>
          </cell>
          <cell r="B6" t="str">
            <v>Vikas Singh</v>
          </cell>
          <cell r="C6" t="str">
            <v>Tally</v>
          </cell>
          <cell r="D6">
            <v>2500</v>
          </cell>
        </row>
        <row r="7">
          <cell r="A7" t="str">
            <v>Raj JadhavExcel</v>
          </cell>
          <cell r="B7" t="str">
            <v>Raj Jadhav</v>
          </cell>
          <cell r="C7" t="str">
            <v>Excel</v>
          </cell>
          <cell r="D7">
            <v>6500</v>
          </cell>
        </row>
        <row r="8">
          <cell r="A8" t="str">
            <v>Anil KumarTally</v>
          </cell>
          <cell r="B8" t="str">
            <v>Anil Kumar</v>
          </cell>
          <cell r="C8" t="str">
            <v>Tally</v>
          </cell>
          <cell r="D8">
            <v>4500</v>
          </cell>
        </row>
      </sheetData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6FA40-68E2-4D21-8AB2-DC5FCD1AECF8}">
  <sheetPr codeName="Sheet1">
    <pageSetUpPr fitToPage="1"/>
  </sheetPr>
  <dimension ref="A1:K23"/>
  <sheetViews>
    <sheetView zoomScale="145" zoomScaleNormal="145" workbookViewId="0">
      <selection activeCell="J2" sqref="J2"/>
    </sheetView>
  </sheetViews>
  <sheetFormatPr defaultRowHeight="14.4" x14ac:dyDescent="0.3"/>
  <cols>
    <col min="1" max="1" width="11.5546875" customWidth="1"/>
    <col min="2" max="2" width="19.21875" bestFit="1" customWidth="1"/>
    <col min="3" max="3" width="6.5546875" customWidth="1"/>
    <col min="4" max="4" width="7.21875" bestFit="1" customWidth="1"/>
    <col min="5" max="5" width="16.109375" bestFit="1" customWidth="1"/>
    <col min="6" max="6" width="10.6640625" customWidth="1"/>
    <col min="9" max="9" width="11.5546875" customWidth="1"/>
    <col min="10" max="10" width="18.44140625" customWidth="1"/>
    <col min="11" max="11" width="18.33203125" customWidth="1"/>
  </cols>
  <sheetData>
    <row r="1" spans="1:11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 t="s">
        <v>0</v>
      </c>
      <c r="J1" s="4">
        <v>1017</v>
      </c>
      <c r="K1" s="4">
        <v>1001</v>
      </c>
    </row>
    <row r="2" spans="1:11" s="3" customFormat="1" ht="20.399999999999999" customHeight="1" x14ac:dyDescent="0.3">
      <c r="A2" s="2">
        <v>1001</v>
      </c>
      <c r="B2" s="2" t="s">
        <v>17</v>
      </c>
      <c r="C2" s="2">
        <v>37</v>
      </c>
      <c r="D2" s="2" t="s">
        <v>6</v>
      </c>
      <c r="E2" s="2" t="s">
        <v>7</v>
      </c>
      <c r="F2" s="2">
        <v>149030</v>
      </c>
      <c r="H2" s="3">
        <v>2</v>
      </c>
      <c r="I2" s="1" t="s">
        <v>1</v>
      </c>
      <c r="J2" s="5" t="str">
        <f>VLOOKUP($J$1,$A$1:$F$18,H2,0)</f>
        <v>Suvankar Adhikary</v>
      </c>
      <c r="K2" s="5" t="str">
        <f>VLOOKUP($K$1,$A$1:$F$18,ROW(),0)</f>
        <v>Aniruddha Kale</v>
      </c>
    </row>
    <row r="3" spans="1:11" s="3" customFormat="1" ht="20.399999999999999" customHeight="1" x14ac:dyDescent="0.3">
      <c r="A3" s="2">
        <v>1002</v>
      </c>
      <c r="B3" s="2" t="s">
        <v>18</v>
      </c>
      <c r="C3" s="2">
        <v>46</v>
      </c>
      <c r="D3" s="2" t="s">
        <v>8</v>
      </c>
      <c r="E3" s="2" t="s">
        <v>9</v>
      </c>
      <c r="F3" s="2">
        <v>182507</v>
      </c>
      <c r="H3" s="3">
        <v>3</v>
      </c>
      <c r="I3" s="1" t="s">
        <v>2</v>
      </c>
      <c r="J3" s="5">
        <f t="shared" ref="J3:J6" si="0">VLOOKUP($J$1,$A$1:$F$18,H3,0)</f>
        <v>27</v>
      </c>
      <c r="K3" s="5">
        <f t="shared" ref="K3:K6" si="1">VLOOKUP($K$1,$A$1:$F$18,ROW(),0)</f>
        <v>37</v>
      </c>
    </row>
    <row r="4" spans="1:11" s="3" customFormat="1" ht="20.399999999999999" customHeight="1" x14ac:dyDescent="0.3">
      <c r="A4" s="2">
        <v>1003</v>
      </c>
      <c r="B4" s="2" t="s">
        <v>19</v>
      </c>
      <c r="C4" s="2">
        <v>45</v>
      </c>
      <c r="D4" s="2" t="s">
        <v>8</v>
      </c>
      <c r="E4" s="2" t="s">
        <v>10</v>
      </c>
      <c r="F4" s="2">
        <v>100741</v>
      </c>
      <c r="H4" s="3">
        <v>4</v>
      </c>
      <c r="I4" s="1" t="s">
        <v>3</v>
      </c>
      <c r="J4" s="5" t="str">
        <f t="shared" si="0"/>
        <v>Female</v>
      </c>
      <c r="K4" s="5" t="str">
        <f t="shared" si="1"/>
        <v>Male</v>
      </c>
    </row>
    <row r="5" spans="1:11" s="3" customFormat="1" ht="20.399999999999999" customHeight="1" x14ac:dyDescent="0.3">
      <c r="A5" s="2">
        <v>1004</v>
      </c>
      <c r="B5" s="2" t="s">
        <v>20</v>
      </c>
      <c r="C5" s="2">
        <v>59</v>
      </c>
      <c r="D5" s="2" t="s">
        <v>6</v>
      </c>
      <c r="E5" s="2" t="s">
        <v>7</v>
      </c>
      <c r="F5" s="2">
        <v>84784</v>
      </c>
      <c r="H5" s="3">
        <v>5</v>
      </c>
      <c r="I5" s="1" t="s">
        <v>4</v>
      </c>
      <c r="J5" s="5" t="str">
        <f t="shared" si="0"/>
        <v>Support</v>
      </c>
      <c r="K5" s="5" t="str">
        <f t="shared" si="1"/>
        <v>Sales</v>
      </c>
    </row>
    <row r="6" spans="1:11" s="3" customFormat="1" ht="20.399999999999999" customHeight="1" x14ac:dyDescent="0.3">
      <c r="A6" s="2">
        <v>1005</v>
      </c>
      <c r="B6" s="2" t="s">
        <v>21</v>
      </c>
      <c r="C6" s="2">
        <v>59</v>
      </c>
      <c r="D6" s="2" t="s">
        <v>6</v>
      </c>
      <c r="E6" s="2" t="s">
        <v>11</v>
      </c>
      <c r="F6" s="2">
        <v>184551</v>
      </c>
      <c r="H6" s="3">
        <v>6</v>
      </c>
      <c r="I6" s="1" t="s">
        <v>5</v>
      </c>
      <c r="J6" s="5">
        <f t="shared" si="0"/>
        <v>121734</v>
      </c>
      <c r="K6" s="5">
        <f t="shared" si="1"/>
        <v>149030</v>
      </c>
    </row>
    <row r="7" spans="1:11" s="3" customFormat="1" ht="20.399999999999999" customHeight="1" x14ac:dyDescent="0.3">
      <c r="A7" s="2">
        <v>1006</v>
      </c>
      <c r="B7" s="2" t="s">
        <v>22</v>
      </c>
      <c r="C7" s="2">
        <v>48</v>
      </c>
      <c r="D7" s="2" t="s">
        <v>6</v>
      </c>
      <c r="E7" s="2" t="s">
        <v>12</v>
      </c>
      <c r="F7" s="2">
        <v>127313</v>
      </c>
    </row>
    <row r="8" spans="1:11" s="3" customFormat="1" ht="20.399999999999999" customHeight="1" x14ac:dyDescent="0.3">
      <c r="A8" s="2">
        <v>1007</v>
      </c>
      <c r="B8" s="2" t="s">
        <v>23</v>
      </c>
      <c r="C8" s="2">
        <v>53</v>
      </c>
      <c r="D8" s="2" t="s">
        <v>8</v>
      </c>
      <c r="E8" s="2" t="s">
        <v>10</v>
      </c>
      <c r="F8" s="2">
        <v>31809</v>
      </c>
    </row>
    <row r="9" spans="1:11" s="3" customFormat="1" ht="20.399999999999999" customHeight="1" x14ac:dyDescent="0.3">
      <c r="A9" s="2">
        <v>1008</v>
      </c>
      <c r="B9" s="2" t="s">
        <v>24</v>
      </c>
      <c r="C9" s="2">
        <v>59</v>
      </c>
      <c r="D9" s="2" t="s">
        <v>8</v>
      </c>
      <c r="E9" s="2" t="s">
        <v>13</v>
      </c>
      <c r="F9" s="2">
        <v>39769</v>
      </c>
    </row>
    <row r="10" spans="1:11" s="3" customFormat="1" ht="20.399999999999999" customHeight="1" x14ac:dyDescent="0.3">
      <c r="A10" s="2">
        <v>1009</v>
      </c>
      <c r="B10" s="2" t="s">
        <v>25</v>
      </c>
      <c r="C10" s="2">
        <v>26</v>
      </c>
      <c r="D10" s="2" t="s">
        <v>8</v>
      </c>
      <c r="E10" s="2" t="s">
        <v>9</v>
      </c>
      <c r="F10" s="2">
        <v>75792</v>
      </c>
    </row>
    <row r="11" spans="1:11" s="3" customFormat="1" ht="20.399999999999999" customHeight="1" x14ac:dyDescent="0.3">
      <c r="A11" s="2">
        <v>1010</v>
      </c>
      <c r="B11" s="2" t="s">
        <v>26</v>
      </c>
      <c r="C11" s="2">
        <v>58</v>
      </c>
      <c r="D11" s="2" t="s">
        <v>6</v>
      </c>
      <c r="E11" s="2" t="s">
        <v>7</v>
      </c>
      <c r="F11" s="2">
        <v>148988</v>
      </c>
      <c r="I11" s="1" t="s">
        <v>0</v>
      </c>
      <c r="J11" s="3">
        <v>1001</v>
      </c>
    </row>
    <row r="12" spans="1:11" s="3" customFormat="1" ht="20.399999999999999" customHeight="1" x14ac:dyDescent="0.3">
      <c r="A12" s="2">
        <v>1011</v>
      </c>
      <c r="B12" s="2" t="s">
        <v>27</v>
      </c>
      <c r="C12" s="2">
        <v>44</v>
      </c>
      <c r="D12" s="2" t="s">
        <v>8</v>
      </c>
      <c r="E12" s="2" t="s">
        <v>7</v>
      </c>
      <c r="F12" s="2">
        <v>98803</v>
      </c>
      <c r="I12" s="1" t="s">
        <v>1</v>
      </c>
      <c r="J12" s="5" t="str">
        <f>VLOOKUP($J$11,A:F,ROW()-10,0)</f>
        <v>Aniruddha Kale</v>
      </c>
    </row>
    <row r="13" spans="1:11" s="3" customFormat="1" ht="20.399999999999999" customHeight="1" x14ac:dyDescent="0.3">
      <c r="A13" s="2">
        <v>1012</v>
      </c>
      <c r="B13" s="2" t="s">
        <v>28</v>
      </c>
      <c r="C13" s="2">
        <v>39</v>
      </c>
      <c r="D13" s="2" t="s">
        <v>8</v>
      </c>
      <c r="E13" s="2" t="s">
        <v>11</v>
      </c>
      <c r="F13" s="2">
        <v>172266</v>
      </c>
      <c r="I13" s="1" t="s">
        <v>2</v>
      </c>
      <c r="J13" s="5">
        <f t="shared" ref="J13:J16" si="2">VLOOKUP($J$11,A:F,ROW()-10,0)</f>
        <v>37</v>
      </c>
    </row>
    <row r="14" spans="1:11" s="3" customFormat="1" ht="20.399999999999999" customHeight="1" x14ac:dyDescent="0.3">
      <c r="A14" s="2">
        <v>1013</v>
      </c>
      <c r="B14" s="2" t="s">
        <v>29</v>
      </c>
      <c r="C14" s="2">
        <v>54</v>
      </c>
      <c r="D14" s="2" t="s">
        <v>6</v>
      </c>
      <c r="E14" s="2" t="s">
        <v>14</v>
      </c>
      <c r="F14" s="2">
        <v>136087</v>
      </c>
      <c r="I14" s="1" t="s">
        <v>3</v>
      </c>
      <c r="J14" s="5" t="str">
        <f t="shared" si="2"/>
        <v>Male</v>
      </c>
    </row>
    <row r="15" spans="1:11" s="3" customFormat="1" ht="20.399999999999999" customHeight="1" x14ac:dyDescent="0.3">
      <c r="A15" s="2">
        <v>1014</v>
      </c>
      <c r="B15" s="2" t="s">
        <v>30</v>
      </c>
      <c r="C15" s="2">
        <v>34</v>
      </c>
      <c r="D15" s="2" t="s">
        <v>8</v>
      </c>
      <c r="E15" s="2" t="s">
        <v>9</v>
      </c>
      <c r="F15" s="2">
        <v>30479</v>
      </c>
      <c r="I15" s="1" t="s">
        <v>4</v>
      </c>
      <c r="J15" s="5" t="str">
        <f t="shared" si="2"/>
        <v>Sales</v>
      </c>
    </row>
    <row r="16" spans="1:11" s="3" customFormat="1" ht="20.399999999999999" customHeight="1" x14ac:dyDescent="0.3">
      <c r="A16" s="2">
        <v>1015</v>
      </c>
      <c r="B16" s="2" t="s">
        <v>31</v>
      </c>
      <c r="C16" s="2">
        <v>47</v>
      </c>
      <c r="D16" s="2" t="s">
        <v>8</v>
      </c>
      <c r="E16" s="2" t="s">
        <v>7</v>
      </c>
      <c r="F16" s="2">
        <v>150145</v>
      </c>
      <c r="I16" s="1" t="s">
        <v>5</v>
      </c>
      <c r="J16" s="5">
        <f t="shared" si="2"/>
        <v>149030</v>
      </c>
    </row>
    <row r="17" spans="1:10" s="3" customFormat="1" ht="20.399999999999999" customHeight="1" x14ac:dyDescent="0.3">
      <c r="A17" s="2">
        <v>1016</v>
      </c>
      <c r="B17" s="2" t="s">
        <v>32</v>
      </c>
      <c r="C17" s="2">
        <v>35</v>
      </c>
      <c r="D17" s="2" t="s">
        <v>8</v>
      </c>
      <c r="E17" s="2" t="s">
        <v>15</v>
      </c>
      <c r="F17" s="2">
        <v>158214</v>
      </c>
    </row>
    <row r="18" spans="1:10" s="3" customFormat="1" ht="20.399999999999999" customHeight="1" x14ac:dyDescent="0.3">
      <c r="A18" s="2">
        <v>1017</v>
      </c>
      <c r="B18" s="2" t="s">
        <v>33</v>
      </c>
      <c r="C18" s="2">
        <v>27</v>
      </c>
      <c r="D18" s="2" t="s">
        <v>8</v>
      </c>
      <c r="E18" s="2" t="s">
        <v>16</v>
      </c>
      <c r="F18" s="2">
        <v>121734</v>
      </c>
      <c r="I18" s="1" t="s">
        <v>0</v>
      </c>
      <c r="J18" s="3">
        <v>1001</v>
      </c>
    </row>
    <row r="19" spans="1:10" x14ac:dyDescent="0.3">
      <c r="I19" s="1" t="s">
        <v>1</v>
      </c>
      <c r="J19" t="str">
        <f>VLOOKUP($J$18,A:F,ROW()-17,0)</f>
        <v>Aniruddha Kale</v>
      </c>
    </row>
    <row r="20" spans="1:10" x14ac:dyDescent="0.3">
      <c r="I20" s="1" t="s">
        <v>2</v>
      </c>
      <c r="J20">
        <f t="shared" ref="J20:J23" si="3">VLOOKUP($J$18,A:F,ROW()-17,0)</f>
        <v>37</v>
      </c>
    </row>
    <row r="21" spans="1:10" x14ac:dyDescent="0.3">
      <c r="I21" s="1" t="s">
        <v>3</v>
      </c>
      <c r="J21" t="str">
        <f t="shared" si="3"/>
        <v>Male</v>
      </c>
    </row>
    <row r="22" spans="1:10" x14ac:dyDescent="0.3">
      <c r="I22" s="1" t="s">
        <v>4</v>
      </c>
      <c r="J22" t="str">
        <f t="shared" si="3"/>
        <v>Sales</v>
      </c>
    </row>
    <row r="23" spans="1:10" x14ac:dyDescent="0.3">
      <c r="I23" s="1" t="s">
        <v>5</v>
      </c>
      <c r="J23">
        <f t="shared" si="3"/>
        <v>149030</v>
      </c>
    </row>
  </sheetData>
  <sortState xmlns:xlrd2="http://schemas.microsoft.com/office/spreadsheetml/2017/richdata2" ref="A2:F18">
    <sortCondition ref="A2:A18"/>
  </sortState>
  <pageMargins left="0.25" right="0.25" top="0.75" bottom="0.75" header="0.3" footer="0.3"/>
  <pageSetup scale="9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98878-DEF2-4785-ADDF-B39B3B279BE2}">
  <sheetPr>
    <pageSetUpPr fitToPage="1"/>
  </sheetPr>
  <dimension ref="A1:H18"/>
  <sheetViews>
    <sheetView zoomScale="160" zoomScaleNormal="160" workbookViewId="0">
      <selection activeCell="D2" sqref="D2:D18"/>
    </sheetView>
  </sheetViews>
  <sheetFormatPr defaultRowHeight="14.4" x14ac:dyDescent="0.3"/>
  <cols>
    <col min="1" max="1" width="6.5546875" bestFit="1" customWidth="1"/>
    <col min="2" max="2" width="19" bestFit="1" customWidth="1"/>
    <col min="3" max="3" width="11.5546875" customWidth="1"/>
    <col min="4" max="4" width="12" customWidth="1"/>
    <col min="6" max="6" width="11.88671875" customWidth="1"/>
    <col min="7" max="7" width="9.6640625" customWidth="1"/>
  </cols>
  <sheetData>
    <row r="1" spans="1:8" x14ac:dyDescent="0.3">
      <c r="A1" s="1" t="s">
        <v>0</v>
      </c>
      <c r="B1" s="1" t="s">
        <v>34</v>
      </c>
      <c r="C1" s="1" t="s">
        <v>35</v>
      </c>
      <c r="D1" s="1" t="s">
        <v>36</v>
      </c>
      <c r="G1" s="1" t="s">
        <v>35</v>
      </c>
      <c r="H1" s="1" t="s">
        <v>36</v>
      </c>
    </row>
    <row r="2" spans="1:8" x14ac:dyDescent="0.3">
      <c r="A2" s="2">
        <v>1001</v>
      </c>
      <c r="B2" s="6" t="s">
        <v>21</v>
      </c>
      <c r="C2" s="2">
        <v>77</v>
      </c>
      <c r="D2" s="9">
        <f>VLOOKUP(C2,Incentive_Target,2,1)</f>
        <v>0.05</v>
      </c>
      <c r="G2" s="6">
        <v>10</v>
      </c>
      <c r="H2" s="7">
        <v>0.02</v>
      </c>
    </row>
    <row r="3" spans="1:8" x14ac:dyDescent="0.3">
      <c r="A3" s="2">
        <v>1002</v>
      </c>
      <c r="B3" s="6" t="s">
        <v>30</v>
      </c>
      <c r="C3" s="2">
        <v>613</v>
      </c>
      <c r="D3" s="9">
        <f>VLOOKUP(C3,Incentive_Target,2,1)</f>
        <v>0.3</v>
      </c>
      <c r="G3" s="6">
        <v>50</v>
      </c>
      <c r="H3" s="7">
        <v>0.05</v>
      </c>
    </row>
    <row r="4" spans="1:8" x14ac:dyDescent="0.3">
      <c r="A4" s="2">
        <v>1003</v>
      </c>
      <c r="B4" s="6" t="s">
        <v>23</v>
      </c>
      <c r="C4" s="2">
        <v>567</v>
      </c>
      <c r="D4" s="9">
        <f>VLOOKUP(C4,Incentive_Target,2,1)</f>
        <v>0.3</v>
      </c>
      <c r="G4" s="6">
        <v>100</v>
      </c>
      <c r="H4" s="7">
        <v>0.1</v>
      </c>
    </row>
    <row r="5" spans="1:8" x14ac:dyDescent="0.3">
      <c r="A5" s="2">
        <v>1004</v>
      </c>
      <c r="B5" s="6" t="s">
        <v>23</v>
      </c>
      <c r="C5" s="2">
        <v>192</v>
      </c>
      <c r="D5" s="9">
        <f>VLOOKUP(C5,Incentive_Target,2,1)</f>
        <v>0.1</v>
      </c>
      <c r="G5" s="6">
        <v>250</v>
      </c>
      <c r="H5" s="7">
        <v>0.2</v>
      </c>
    </row>
    <row r="6" spans="1:8" x14ac:dyDescent="0.3">
      <c r="A6" s="2">
        <v>1005</v>
      </c>
      <c r="B6" s="6" t="s">
        <v>24</v>
      </c>
      <c r="C6" s="2">
        <v>350</v>
      </c>
      <c r="D6" s="9">
        <f>VLOOKUP(C6,Incentive_Target,2,1)</f>
        <v>0.2</v>
      </c>
      <c r="G6" s="6">
        <v>500</v>
      </c>
      <c r="H6" s="7">
        <v>0.3</v>
      </c>
    </row>
    <row r="7" spans="1:8" x14ac:dyDescent="0.3">
      <c r="A7" s="2">
        <v>1006</v>
      </c>
      <c r="B7" s="6" t="s">
        <v>18</v>
      </c>
      <c r="C7" s="2">
        <v>34</v>
      </c>
      <c r="D7" s="9">
        <f>VLOOKUP(C7,Incentive_Target,2,1)</f>
        <v>0.02</v>
      </c>
      <c r="G7" s="6">
        <v>1000</v>
      </c>
      <c r="H7" s="7">
        <v>0.4</v>
      </c>
    </row>
    <row r="8" spans="1:8" x14ac:dyDescent="0.3">
      <c r="A8" s="2">
        <v>1007</v>
      </c>
      <c r="B8" s="6" t="s">
        <v>18</v>
      </c>
      <c r="C8" s="2">
        <v>106</v>
      </c>
      <c r="D8" s="9">
        <f>VLOOKUP(C8,Incentive_Target,2,1)</f>
        <v>0.1</v>
      </c>
    </row>
    <row r="9" spans="1:8" x14ac:dyDescent="0.3">
      <c r="A9" s="2">
        <v>1008</v>
      </c>
      <c r="B9" s="6" t="s">
        <v>27</v>
      </c>
      <c r="C9" s="2">
        <v>808</v>
      </c>
      <c r="D9" s="9">
        <f>VLOOKUP(C9,Incentive_Target,2,1)</f>
        <v>0.3</v>
      </c>
      <c r="H9" s="8"/>
    </row>
    <row r="10" spans="1:8" x14ac:dyDescent="0.3">
      <c r="A10" s="2">
        <v>1009</v>
      </c>
      <c r="B10" s="6" t="s">
        <v>26</v>
      </c>
      <c r="C10" s="2">
        <v>652</v>
      </c>
      <c r="D10" s="9">
        <f>VLOOKUP(C10,Incentive_Target,2,1)</f>
        <v>0.3</v>
      </c>
    </row>
    <row r="11" spans="1:8" x14ac:dyDescent="0.3">
      <c r="A11" s="2">
        <v>1010</v>
      </c>
      <c r="B11" s="6" t="s">
        <v>30</v>
      </c>
      <c r="C11" s="2">
        <v>254</v>
      </c>
      <c r="D11" s="9">
        <f>VLOOKUP(C11,Incentive_Target,2,1)</f>
        <v>0.2</v>
      </c>
    </row>
    <row r="12" spans="1:8" x14ac:dyDescent="0.3">
      <c r="A12" s="2">
        <v>1011</v>
      </c>
      <c r="B12" s="6" t="s">
        <v>29</v>
      </c>
      <c r="C12" s="2">
        <v>1067</v>
      </c>
      <c r="D12" s="9">
        <f>VLOOKUP(C12,Incentive_Target,2,1)</f>
        <v>0.4</v>
      </c>
    </row>
    <row r="13" spans="1:8" x14ac:dyDescent="0.3">
      <c r="A13" s="2">
        <v>1012</v>
      </c>
      <c r="B13" s="6" t="s">
        <v>17</v>
      </c>
      <c r="C13" s="2">
        <v>1226</v>
      </c>
      <c r="D13" s="9">
        <f>VLOOKUP(C13,Incentive_Target,2,1)</f>
        <v>0.4</v>
      </c>
    </row>
    <row r="14" spans="1:8" x14ac:dyDescent="0.3">
      <c r="A14" s="2">
        <v>1013</v>
      </c>
      <c r="B14" s="6" t="s">
        <v>32</v>
      </c>
      <c r="C14" s="2">
        <v>1010</v>
      </c>
      <c r="D14" s="9">
        <f>VLOOKUP(C14,Incentive_Target,2,1)</f>
        <v>0.4</v>
      </c>
    </row>
    <row r="15" spans="1:8" x14ac:dyDescent="0.3">
      <c r="A15" s="2">
        <v>1014</v>
      </c>
      <c r="B15" s="6" t="s">
        <v>25</v>
      </c>
      <c r="C15" s="2">
        <v>1348</v>
      </c>
      <c r="D15" s="9">
        <f>VLOOKUP(C15,Incentive_Target,2,1)</f>
        <v>0.4</v>
      </c>
    </row>
    <row r="16" spans="1:8" x14ac:dyDescent="0.3">
      <c r="A16" s="2">
        <v>1015</v>
      </c>
      <c r="B16" s="6" t="s">
        <v>27</v>
      </c>
      <c r="C16" s="2">
        <v>883</v>
      </c>
      <c r="D16" s="9">
        <f>VLOOKUP(C16,Incentive_Target,2,1)</f>
        <v>0.3</v>
      </c>
    </row>
    <row r="17" spans="1:4" x14ac:dyDescent="0.3">
      <c r="A17" s="2">
        <v>1016</v>
      </c>
      <c r="B17" s="6" t="s">
        <v>33</v>
      </c>
      <c r="C17" s="2">
        <v>376</v>
      </c>
      <c r="D17" s="9">
        <f>VLOOKUP(C17,Incentive_Target,2,1)</f>
        <v>0.2</v>
      </c>
    </row>
    <row r="18" spans="1:4" x14ac:dyDescent="0.3">
      <c r="A18" s="2">
        <v>1017</v>
      </c>
      <c r="B18" s="6" t="s">
        <v>25</v>
      </c>
      <c r="C18" s="2">
        <v>885</v>
      </c>
      <c r="D18" s="9">
        <f>VLOOKUP(C18,Incentive_Target,2,1)</f>
        <v>0.3</v>
      </c>
    </row>
  </sheetData>
  <sortState xmlns:xlrd2="http://schemas.microsoft.com/office/spreadsheetml/2017/richdata2" ref="G2:H7">
    <sortCondition ref="G2:G7"/>
  </sortState>
  <pageMargins left="0.25" right="0.25" top="0.75" bottom="0.75" header="0.3" footer="0.3"/>
  <pageSetup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35E47-C0FF-4F9D-9D24-22C1765F7A2E}">
  <sheetPr>
    <pageSetUpPr fitToPage="1"/>
  </sheetPr>
  <dimension ref="A1:J18"/>
  <sheetViews>
    <sheetView zoomScale="145" zoomScaleNormal="145" workbookViewId="0">
      <selection activeCell="J15" sqref="J11:J15"/>
    </sheetView>
  </sheetViews>
  <sheetFormatPr defaultRowHeight="14.4" x14ac:dyDescent="0.3"/>
  <cols>
    <col min="1" max="1" width="11.5546875" customWidth="1"/>
    <col min="2" max="2" width="19.21875" bestFit="1" customWidth="1"/>
    <col min="3" max="3" width="6.5546875" customWidth="1"/>
    <col min="4" max="4" width="7.21875" bestFit="1" customWidth="1"/>
    <col min="5" max="5" width="16.109375" bestFit="1" customWidth="1"/>
    <col min="6" max="6" width="10.6640625" customWidth="1"/>
    <col min="7" max="7" width="5.33203125" customWidth="1"/>
    <col min="8" max="8" width="4.88671875" customWidth="1"/>
    <col min="9" max="9" width="11.5546875" customWidth="1"/>
    <col min="10" max="10" width="27.88671875" customWidth="1"/>
  </cols>
  <sheetData>
    <row r="1" spans="1:10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 t="s">
        <v>0</v>
      </c>
      <c r="J1" s="10">
        <v>1025</v>
      </c>
    </row>
    <row r="2" spans="1:10" s="3" customFormat="1" ht="20.399999999999999" customHeight="1" x14ac:dyDescent="0.3">
      <c r="A2" s="2">
        <v>1001</v>
      </c>
      <c r="B2" s="2" t="s">
        <v>17</v>
      </c>
      <c r="C2" s="2">
        <v>37</v>
      </c>
      <c r="D2" s="2" t="s">
        <v>6</v>
      </c>
      <c r="E2" s="2" t="s">
        <v>7</v>
      </c>
      <c r="F2" s="2">
        <v>149030</v>
      </c>
      <c r="I2" s="1" t="s">
        <v>1</v>
      </c>
      <c r="J2" s="11" t="str">
        <f>IFERROR(VLOOKUP($J$1,A:F,ROW(),0),"")</f>
        <v/>
      </c>
    </row>
    <row r="3" spans="1:10" s="3" customFormat="1" ht="20.399999999999999" customHeight="1" x14ac:dyDescent="0.3">
      <c r="A3" s="2">
        <v>1002</v>
      </c>
      <c r="B3" s="2" t="s">
        <v>18</v>
      </c>
      <c r="C3" s="2">
        <v>46</v>
      </c>
      <c r="D3" s="2" t="s">
        <v>8</v>
      </c>
      <c r="E3" s="2" t="s">
        <v>9</v>
      </c>
      <c r="F3" s="2">
        <v>182507</v>
      </c>
      <c r="I3" s="1" t="s">
        <v>2</v>
      </c>
      <c r="J3" s="11" t="str">
        <f t="shared" ref="J3:J6" si="0">IFERROR(VLOOKUP($J$1,A:F,ROW(),0),"")</f>
        <v/>
      </c>
    </row>
    <row r="4" spans="1:10" s="3" customFormat="1" ht="20.399999999999999" customHeight="1" x14ac:dyDescent="0.3">
      <c r="A4" s="2">
        <v>1003</v>
      </c>
      <c r="B4" s="2" t="s">
        <v>19</v>
      </c>
      <c r="C4" s="2">
        <v>45</v>
      </c>
      <c r="D4" s="2" t="s">
        <v>8</v>
      </c>
      <c r="E4" s="2" t="s">
        <v>10</v>
      </c>
      <c r="F4" s="2">
        <v>100741</v>
      </c>
      <c r="I4" s="1" t="s">
        <v>3</v>
      </c>
      <c r="J4" s="11" t="str">
        <f t="shared" si="0"/>
        <v/>
      </c>
    </row>
    <row r="5" spans="1:10" s="3" customFormat="1" ht="20.399999999999999" customHeight="1" x14ac:dyDescent="0.3">
      <c r="A5" s="2">
        <v>1004</v>
      </c>
      <c r="B5" s="2" t="s">
        <v>20</v>
      </c>
      <c r="C5" s="2">
        <v>59</v>
      </c>
      <c r="D5" s="2" t="s">
        <v>6</v>
      </c>
      <c r="E5" s="2" t="s">
        <v>7</v>
      </c>
      <c r="F5" s="2">
        <v>84784</v>
      </c>
      <c r="I5" s="1" t="s">
        <v>4</v>
      </c>
      <c r="J5" s="11" t="str">
        <f t="shared" si="0"/>
        <v/>
      </c>
    </row>
    <row r="6" spans="1:10" s="3" customFormat="1" ht="20.399999999999999" customHeight="1" x14ac:dyDescent="0.3">
      <c r="A6" s="2">
        <v>1005</v>
      </c>
      <c r="B6" s="2" t="s">
        <v>21</v>
      </c>
      <c r="C6" s="2">
        <v>59</v>
      </c>
      <c r="D6" s="2" t="s">
        <v>6</v>
      </c>
      <c r="E6" s="2" t="s">
        <v>11</v>
      </c>
      <c r="F6" s="2">
        <v>184551</v>
      </c>
      <c r="I6" s="1" t="s">
        <v>5</v>
      </c>
      <c r="J6" s="11" t="str">
        <f t="shared" si="0"/>
        <v/>
      </c>
    </row>
    <row r="7" spans="1:10" s="3" customFormat="1" ht="20.399999999999999" customHeight="1" x14ac:dyDescent="0.3">
      <c r="A7" s="2">
        <v>1006</v>
      </c>
      <c r="B7" s="2" t="s">
        <v>22</v>
      </c>
      <c r="C7" s="2">
        <v>48</v>
      </c>
      <c r="D7" s="2" t="s">
        <v>6</v>
      </c>
      <c r="E7" s="2" t="s">
        <v>12</v>
      </c>
      <c r="F7" s="2">
        <v>127313</v>
      </c>
    </row>
    <row r="8" spans="1:10" s="3" customFormat="1" ht="20.399999999999999" customHeight="1" x14ac:dyDescent="0.3">
      <c r="A8" s="2">
        <v>1007</v>
      </c>
      <c r="B8" s="2" t="s">
        <v>23</v>
      </c>
      <c r="C8" s="2">
        <v>53</v>
      </c>
      <c r="D8" s="2" t="s">
        <v>8</v>
      </c>
      <c r="E8" s="2" t="s">
        <v>10</v>
      </c>
      <c r="F8" s="2">
        <v>31809</v>
      </c>
    </row>
    <row r="9" spans="1:10" s="3" customFormat="1" ht="20.399999999999999" customHeight="1" x14ac:dyDescent="0.3">
      <c r="A9" s="2">
        <v>1008</v>
      </c>
      <c r="B9" s="2" t="s">
        <v>24</v>
      </c>
      <c r="C9" s="2">
        <v>59</v>
      </c>
      <c r="D9" s="2" t="s">
        <v>8</v>
      </c>
      <c r="E9" s="2" t="s">
        <v>13</v>
      </c>
      <c r="F9" s="2">
        <v>39769</v>
      </c>
    </row>
    <row r="10" spans="1:10" s="3" customFormat="1" ht="20.399999999999999" customHeight="1" x14ac:dyDescent="0.3">
      <c r="A10" s="2">
        <v>1009</v>
      </c>
      <c r="B10" s="2" t="s">
        <v>25</v>
      </c>
      <c r="C10" s="2">
        <v>26</v>
      </c>
      <c r="D10" s="2" t="s">
        <v>8</v>
      </c>
      <c r="E10" s="2" t="s">
        <v>9</v>
      </c>
      <c r="F10" s="2">
        <v>75792</v>
      </c>
      <c r="I10" s="1" t="s">
        <v>0</v>
      </c>
      <c r="J10" s="10">
        <v>1011</v>
      </c>
    </row>
    <row r="11" spans="1:10" s="3" customFormat="1" ht="20.399999999999999" customHeight="1" x14ac:dyDescent="0.3">
      <c r="A11" s="2">
        <v>1010</v>
      </c>
      <c r="B11" s="2" t="s">
        <v>26</v>
      </c>
      <c r="C11" s="2">
        <v>58</v>
      </c>
      <c r="D11" s="2" t="s">
        <v>6</v>
      </c>
      <c r="E11" s="2" t="s">
        <v>7</v>
      </c>
      <c r="F11" s="2">
        <v>148988</v>
      </c>
      <c r="I11" s="1" t="s">
        <v>1</v>
      </c>
      <c r="J11" s="11" t="str">
        <f>IFERROR(VLOOKUP($J$10,A:F,ROW()-9,0), " ")</f>
        <v>Dannana Jhammi</v>
      </c>
    </row>
    <row r="12" spans="1:10" s="3" customFormat="1" ht="20.399999999999999" customHeight="1" x14ac:dyDescent="0.3">
      <c r="A12" s="2">
        <v>1011</v>
      </c>
      <c r="B12" s="2" t="s">
        <v>27</v>
      </c>
      <c r="C12" s="2">
        <v>44</v>
      </c>
      <c r="D12" s="2" t="s">
        <v>8</v>
      </c>
      <c r="E12" s="2" t="s">
        <v>7</v>
      </c>
      <c r="F12" s="2">
        <v>98803</v>
      </c>
      <c r="I12" s="1" t="s">
        <v>2</v>
      </c>
      <c r="J12" s="11">
        <f t="shared" ref="J12:J15" si="1">IFERROR(VLOOKUP($J$10,A:F,ROW()-9,0), " ")</f>
        <v>44</v>
      </c>
    </row>
    <row r="13" spans="1:10" s="3" customFormat="1" ht="20.399999999999999" customHeight="1" x14ac:dyDescent="0.3">
      <c r="A13" s="2">
        <v>1012</v>
      </c>
      <c r="B13" s="2" t="s">
        <v>28</v>
      </c>
      <c r="C13" s="2">
        <v>39</v>
      </c>
      <c r="D13" s="2" t="s">
        <v>8</v>
      </c>
      <c r="E13" s="2" t="s">
        <v>11</v>
      </c>
      <c r="F13" s="2">
        <v>172266</v>
      </c>
      <c r="I13" s="1" t="s">
        <v>3</v>
      </c>
      <c r="J13" s="11" t="str">
        <f t="shared" si="1"/>
        <v>Female</v>
      </c>
    </row>
    <row r="14" spans="1:10" s="3" customFormat="1" ht="20.399999999999999" customHeight="1" x14ac:dyDescent="0.3">
      <c r="A14" s="2">
        <v>1013</v>
      </c>
      <c r="B14" s="2" t="s">
        <v>29</v>
      </c>
      <c r="C14" s="2">
        <v>54</v>
      </c>
      <c r="D14" s="2" t="s">
        <v>6</v>
      </c>
      <c r="E14" s="2" t="s">
        <v>14</v>
      </c>
      <c r="F14" s="2">
        <v>136087</v>
      </c>
      <c r="I14" s="1" t="s">
        <v>4</v>
      </c>
      <c r="J14" s="11" t="str">
        <f t="shared" si="1"/>
        <v>Sales</v>
      </c>
    </row>
    <row r="15" spans="1:10" s="3" customFormat="1" ht="20.399999999999999" customHeight="1" x14ac:dyDescent="0.3">
      <c r="A15" s="2">
        <v>1014</v>
      </c>
      <c r="B15" s="2" t="s">
        <v>30</v>
      </c>
      <c r="C15" s="2">
        <v>34</v>
      </c>
      <c r="D15" s="2" t="s">
        <v>8</v>
      </c>
      <c r="E15" s="2" t="s">
        <v>9</v>
      </c>
      <c r="F15" s="2">
        <v>30479</v>
      </c>
      <c r="I15" s="1" t="s">
        <v>5</v>
      </c>
      <c r="J15" s="11">
        <f t="shared" si="1"/>
        <v>98803</v>
      </c>
    </row>
    <row r="16" spans="1:10" s="3" customFormat="1" ht="20.399999999999999" customHeight="1" x14ac:dyDescent="0.3">
      <c r="A16" s="2">
        <v>1015</v>
      </c>
      <c r="B16" s="2" t="s">
        <v>31</v>
      </c>
      <c r="C16" s="2">
        <v>47</v>
      </c>
      <c r="D16" s="2" t="s">
        <v>8</v>
      </c>
      <c r="E16" s="2" t="s">
        <v>7</v>
      </c>
      <c r="F16" s="2">
        <v>150145</v>
      </c>
      <c r="I16"/>
      <c r="J16"/>
    </row>
    <row r="17" spans="1:10" s="3" customFormat="1" ht="20.399999999999999" customHeight="1" x14ac:dyDescent="0.3">
      <c r="A17" s="2">
        <v>1016</v>
      </c>
      <c r="B17" s="2" t="s">
        <v>32</v>
      </c>
      <c r="C17" s="2">
        <v>35</v>
      </c>
      <c r="D17" s="2" t="s">
        <v>8</v>
      </c>
      <c r="E17" s="2" t="s">
        <v>15</v>
      </c>
      <c r="F17" s="2">
        <v>158214</v>
      </c>
      <c r="I17"/>
      <c r="J17"/>
    </row>
    <row r="18" spans="1:10" s="3" customFormat="1" ht="20.399999999999999" customHeight="1" x14ac:dyDescent="0.3">
      <c r="A18" s="2">
        <v>1017</v>
      </c>
      <c r="B18" s="2" t="s">
        <v>33</v>
      </c>
      <c r="C18" s="2">
        <v>27</v>
      </c>
      <c r="D18" s="2" t="s">
        <v>8</v>
      </c>
      <c r="E18" s="2" t="s">
        <v>16</v>
      </c>
      <c r="F18" s="2">
        <v>121734</v>
      </c>
      <c r="I18"/>
      <c r="J18"/>
    </row>
  </sheetData>
  <pageMargins left="0.25" right="0.25" top="0.75" bottom="0.75" header="0.3" footer="0.3"/>
  <pageSetup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5CD99-7D13-485B-BDC3-645CC04660CB}">
  <sheetPr>
    <pageSetUpPr fitToPage="1"/>
  </sheetPr>
  <dimension ref="A1:I16"/>
  <sheetViews>
    <sheetView tabSelected="1" zoomScale="82" zoomScaleNormal="145" workbookViewId="0">
      <selection activeCell="E15" sqref="E15"/>
    </sheetView>
  </sheetViews>
  <sheetFormatPr defaultRowHeight="14.4" x14ac:dyDescent="0.3"/>
  <cols>
    <col min="1" max="1" width="11.5546875" customWidth="1"/>
    <col min="2" max="2" width="19.21875" bestFit="1" customWidth="1"/>
    <col min="3" max="3" width="6.44140625" customWidth="1"/>
    <col min="4" max="4" width="14" customWidth="1"/>
    <col min="5" max="5" width="15.88671875" customWidth="1"/>
    <col min="6" max="6" width="7.21875" customWidth="1"/>
    <col min="7" max="7" width="12.6640625" bestFit="1" customWidth="1"/>
    <col min="8" max="8" width="16.109375" bestFit="1" customWidth="1"/>
    <col min="9" max="9" width="11.88671875" customWidth="1"/>
    <col min="10" max="10" width="11.5546875" customWidth="1"/>
    <col min="11" max="11" width="27.88671875" customWidth="1"/>
  </cols>
  <sheetData>
    <row r="1" spans="1:9" x14ac:dyDescent="0.3">
      <c r="A1" s="12" t="s">
        <v>40</v>
      </c>
      <c r="B1" s="12" t="s">
        <v>38</v>
      </c>
      <c r="G1" s="12" t="s">
        <v>38</v>
      </c>
      <c r="H1" s="12" t="s">
        <v>37</v>
      </c>
      <c r="I1" s="12" t="s">
        <v>39</v>
      </c>
    </row>
    <row r="2" spans="1:9" x14ac:dyDescent="0.3">
      <c r="A2" s="6">
        <v>1</v>
      </c>
      <c r="B2" s="6" t="s">
        <v>50</v>
      </c>
      <c r="G2" s="6" t="s">
        <v>50</v>
      </c>
      <c r="H2" s="6" t="s">
        <v>46</v>
      </c>
      <c r="I2" s="6" t="s">
        <v>41</v>
      </c>
    </row>
    <row r="3" spans="1:9" x14ac:dyDescent="0.3">
      <c r="A3" s="6">
        <v>2</v>
      </c>
      <c r="B3" s="6" t="s">
        <v>54</v>
      </c>
      <c r="G3" s="6" t="s">
        <v>54</v>
      </c>
      <c r="H3" s="6" t="s">
        <v>60</v>
      </c>
      <c r="I3" s="6" t="s">
        <v>42</v>
      </c>
    </row>
    <row r="4" spans="1:9" x14ac:dyDescent="0.3">
      <c r="A4" s="6">
        <v>3</v>
      </c>
      <c r="B4" s="6" t="s">
        <v>55</v>
      </c>
      <c r="D4" s="12" t="s">
        <v>40</v>
      </c>
      <c r="E4">
        <v>2</v>
      </c>
      <c r="G4" s="6" t="s">
        <v>55</v>
      </c>
      <c r="H4" s="6" t="s">
        <v>61</v>
      </c>
      <c r="I4" s="6" t="s">
        <v>41</v>
      </c>
    </row>
    <row r="5" spans="1:9" x14ac:dyDescent="0.3">
      <c r="A5" s="6">
        <v>4</v>
      </c>
      <c r="B5" s="6" t="s">
        <v>53</v>
      </c>
      <c r="D5" s="12" t="s">
        <v>37</v>
      </c>
      <c r="E5" t="str">
        <f>VLOOKUP(VLOOKUP($E$4,Roll_Number,2,0),Exam_Seat_No,ROW()-3,0)</f>
        <v>Rajiv Gupta</v>
      </c>
      <c r="G5" s="6" t="s">
        <v>53</v>
      </c>
      <c r="H5" s="6" t="s">
        <v>62</v>
      </c>
      <c r="I5" s="6" t="s">
        <v>43</v>
      </c>
    </row>
    <row r="6" spans="1:9" x14ac:dyDescent="0.3">
      <c r="A6" s="6">
        <v>5</v>
      </c>
      <c r="B6" s="6" t="s">
        <v>51</v>
      </c>
      <c r="D6" s="12" t="s">
        <v>39</v>
      </c>
      <c r="E6" t="str">
        <f>VLOOKUP(VLOOKUP($E$4,Roll_Number,2,0),Exam_Seat_No,ROW()-3,0)</f>
        <v>9B</v>
      </c>
      <c r="G6" s="6" t="s">
        <v>51</v>
      </c>
      <c r="H6" s="6" t="s">
        <v>47</v>
      </c>
      <c r="I6" s="6" t="s">
        <v>44</v>
      </c>
    </row>
    <row r="7" spans="1:9" x14ac:dyDescent="0.3">
      <c r="A7" s="6">
        <v>6</v>
      </c>
      <c r="B7" s="6" t="s">
        <v>56</v>
      </c>
      <c r="G7" s="6" t="s">
        <v>56</v>
      </c>
      <c r="H7" s="6" t="s">
        <v>63</v>
      </c>
      <c r="I7" s="6" t="s">
        <v>45</v>
      </c>
    </row>
    <row r="8" spans="1:9" x14ac:dyDescent="0.3">
      <c r="A8" s="6">
        <v>7</v>
      </c>
      <c r="B8" s="6" t="s">
        <v>57</v>
      </c>
      <c r="G8" s="6" t="s">
        <v>57</v>
      </c>
      <c r="H8" s="6" t="s">
        <v>64</v>
      </c>
      <c r="I8" s="6" t="s">
        <v>42</v>
      </c>
    </row>
    <row r="9" spans="1:9" x14ac:dyDescent="0.3">
      <c r="A9" s="6">
        <v>8</v>
      </c>
      <c r="B9" s="6" t="s">
        <v>52</v>
      </c>
      <c r="D9" s="13" t="s">
        <v>38</v>
      </c>
      <c r="G9" s="6" t="s">
        <v>52</v>
      </c>
      <c r="H9" s="6" t="s">
        <v>65</v>
      </c>
      <c r="I9" s="6" t="s">
        <v>44</v>
      </c>
    </row>
    <row r="10" spans="1:9" x14ac:dyDescent="0.3">
      <c r="A10" s="6">
        <v>9</v>
      </c>
      <c r="B10" s="6" t="s">
        <v>58</v>
      </c>
      <c r="G10" s="6" t="s">
        <v>58</v>
      </c>
      <c r="H10" s="2" t="s">
        <v>48</v>
      </c>
      <c r="I10" s="6" t="s">
        <v>41</v>
      </c>
    </row>
    <row r="11" spans="1:9" x14ac:dyDescent="0.3">
      <c r="A11" s="6">
        <v>10</v>
      </c>
      <c r="B11" s="6" t="s">
        <v>59</v>
      </c>
      <c r="G11" s="6" t="s">
        <v>59</v>
      </c>
      <c r="H11" s="2" t="s">
        <v>49</v>
      </c>
      <c r="I11" s="6" t="s">
        <v>42</v>
      </c>
    </row>
    <row r="14" spans="1:9" x14ac:dyDescent="0.3">
      <c r="D14" s="12" t="s">
        <v>40</v>
      </c>
      <c r="E14">
        <v>2</v>
      </c>
    </row>
    <row r="15" spans="1:9" x14ac:dyDescent="0.3">
      <c r="D15" s="12" t="s">
        <v>37</v>
      </c>
      <c r="E15" t="str">
        <f>VLOOKUP(VLOOKUP($E$14,Roll_Number,2,0),Exam_Seat_No,COLUMN()-3,0)</f>
        <v>Rajiv Gupta</v>
      </c>
    </row>
    <row r="16" spans="1:9" x14ac:dyDescent="0.3">
      <c r="D16" s="12" t="s">
        <v>39</v>
      </c>
    </row>
  </sheetData>
  <phoneticPr fontId="4" type="noConversion"/>
  <pageMargins left="0.25" right="0.25" top="0.75" bottom="0.75" header="0.3" footer="0.3"/>
  <pageSetup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26A40-DE7F-4339-9159-CE16BF4011BC}">
  <sheetPr>
    <pageSetUpPr fitToPage="1"/>
  </sheetPr>
  <dimension ref="A1:J18"/>
  <sheetViews>
    <sheetView zoomScale="145" zoomScaleNormal="145" workbookViewId="0">
      <selection activeCell="J2" sqref="J2"/>
    </sheetView>
  </sheetViews>
  <sheetFormatPr defaultRowHeight="14.4" x14ac:dyDescent="0.3"/>
  <cols>
    <col min="1" max="1" width="19.5546875" bestFit="1" customWidth="1"/>
    <col min="2" max="2" width="7.77734375" customWidth="1"/>
    <col min="3" max="3" width="9.77734375" customWidth="1"/>
    <col min="4" max="4" width="16.21875" bestFit="1" customWidth="1"/>
    <col min="5" max="5" width="11" customWidth="1"/>
    <col min="6" max="7" width="9.6640625" customWidth="1"/>
    <col min="9" max="9" width="12.21875" customWidth="1"/>
    <col min="10" max="10" width="18.109375" customWidth="1"/>
    <col min="11" max="11" width="19" bestFit="1" customWidth="1"/>
    <col min="13" max="13" width="11.109375" customWidth="1"/>
    <col min="14" max="14" width="19.21875" bestFit="1" customWidth="1"/>
    <col min="16" max="16" width="16.109375" bestFit="1" customWidth="1"/>
  </cols>
  <sheetData>
    <row r="1" spans="1:10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  <c r="G1" s="14"/>
      <c r="I1" s="1" t="s">
        <v>0</v>
      </c>
      <c r="J1" s="6">
        <v>1002</v>
      </c>
    </row>
    <row r="2" spans="1:10" x14ac:dyDescent="0.3">
      <c r="A2" s="2" t="s">
        <v>66</v>
      </c>
      <c r="B2" s="2">
        <v>37</v>
      </c>
      <c r="C2" s="2" t="s">
        <v>6</v>
      </c>
      <c r="D2" s="2" t="s">
        <v>7</v>
      </c>
      <c r="E2" s="2">
        <v>149030</v>
      </c>
      <c r="F2" s="2">
        <v>1001</v>
      </c>
      <c r="G2" s="3"/>
      <c r="I2" s="1" t="s">
        <v>1</v>
      </c>
      <c r="J2" s="6" t="str">
        <f>VLOOKUP($J$1,CHOOSE({1,2,3,4,5,6},$F$1:$F$18,$A$1:$A$18,$B$1:$B$18,$C$1:$C$18,$D$1:$D$18,$E$1:$E$18),ROW(),0)</f>
        <v>ASLAM RAZA</v>
      </c>
    </row>
    <row r="3" spans="1:10" x14ac:dyDescent="0.3">
      <c r="A3" s="2" t="s">
        <v>67</v>
      </c>
      <c r="B3" s="2">
        <v>46</v>
      </c>
      <c r="C3" s="2" t="s">
        <v>8</v>
      </c>
      <c r="D3" s="2" t="s">
        <v>9</v>
      </c>
      <c r="E3" s="2">
        <v>182507</v>
      </c>
      <c r="F3" s="2">
        <v>1002</v>
      </c>
      <c r="G3" s="3"/>
      <c r="I3" s="1" t="s">
        <v>2</v>
      </c>
      <c r="J3" s="6">
        <f>VLOOKUP($J$1,CHOOSE({1,2,3,4,5,6},$F$1:$F$18,$A$1:$A$18,$B$1:$B$18,$C$1:$C$18,$D$1:$D$18,$E$1:$E$18),ROW(),0)</f>
        <v>46</v>
      </c>
    </row>
    <row r="4" spans="1:10" x14ac:dyDescent="0.3">
      <c r="A4" s="2" t="s">
        <v>68</v>
      </c>
      <c r="B4" s="2">
        <v>45</v>
      </c>
      <c r="C4" s="2" t="s">
        <v>8</v>
      </c>
      <c r="D4" s="2" t="s">
        <v>10</v>
      </c>
      <c r="E4" s="2">
        <v>100741</v>
      </c>
      <c r="F4" s="2">
        <v>1003</v>
      </c>
      <c r="G4" s="3"/>
      <c r="I4" s="1" t="s">
        <v>3</v>
      </c>
      <c r="J4" s="6" t="str">
        <f>VLOOKUP($J$1,CHOOSE({1,2,3,4,5,6},$F$1:$F$18,$A$1:$A$18,$B$1:$B$18,$C$1:$C$18,$D$1:$D$18,$E$1:$E$18),ROW(),0)</f>
        <v>Female</v>
      </c>
    </row>
    <row r="5" spans="1:10" x14ac:dyDescent="0.3">
      <c r="A5" s="2" t="s">
        <v>69</v>
      </c>
      <c r="B5" s="2">
        <v>59</v>
      </c>
      <c r="C5" s="2" t="s">
        <v>6</v>
      </c>
      <c r="D5" s="2" t="s">
        <v>7</v>
      </c>
      <c r="E5" s="2">
        <v>84784</v>
      </c>
      <c r="F5" s="2">
        <v>1004</v>
      </c>
      <c r="G5" s="3"/>
      <c r="I5" s="1" t="s">
        <v>4</v>
      </c>
      <c r="J5" s="6" t="str">
        <f>VLOOKUP($J$1,CHOOSE({1,2,3,4,5,6},$F$1:$F$18,$A$1:$A$18,$B$1:$B$18,$C$1:$C$18,$D$1:$D$18,$E$1:$E$18),ROW(),0)</f>
        <v>Finance</v>
      </c>
    </row>
    <row r="6" spans="1:10" x14ac:dyDescent="0.3">
      <c r="A6" s="2" t="s">
        <v>70</v>
      </c>
      <c r="B6" s="2">
        <v>59</v>
      </c>
      <c r="C6" s="2" t="s">
        <v>6</v>
      </c>
      <c r="D6" s="2" t="s">
        <v>11</v>
      </c>
      <c r="E6" s="2">
        <v>184551</v>
      </c>
      <c r="F6" s="2">
        <v>1005</v>
      </c>
      <c r="G6" s="3"/>
      <c r="I6" s="1" t="s">
        <v>5</v>
      </c>
      <c r="J6" s="6">
        <f>VLOOKUP($J$1,CHOOSE({1,2,3,4,5,6},$F$1:$F$18,$A$1:$A$18,$B$1:$B$18,$C$1:$C$18,$D$1:$D$18,$E$1:$E$18),ROW(),0)</f>
        <v>182507</v>
      </c>
    </row>
    <row r="7" spans="1:10" x14ac:dyDescent="0.3">
      <c r="A7" s="2" t="s">
        <v>71</v>
      </c>
      <c r="B7" s="2">
        <v>48</v>
      </c>
      <c r="C7" s="2" t="s">
        <v>6</v>
      </c>
      <c r="D7" s="2" t="s">
        <v>12</v>
      </c>
      <c r="E7" s="2">
        <v>127313</v>
      </c>
      <c r="F7" s="2">
        <v>1006</v>
      </c>
      <c r="G7" s="3"/>
    </row>
    <row r="8" spans="1:10" x14ac:dyDescent="0.3">
      <c r="A8" s="2" t="s">
        <v>72</v>
      </c>
      <c r="B8" s="2">
        <v>53</v>
      </c>
      <c r="C8" s="2" t="s">
        <v>8</v>
      </c>
      <c r="D8" s="2" t="s">
        <v>10</v>
      </c>
      <c r="E8" s="2">
        <v>31809</v>
      </c>
      <c r="F8" s="2">
        <v>1007</v>
      </c>
      <c r="G8" s="3"/>
    </row>
    <row r="9" spans="1:10" x14ac:dyDescent="0.3">
      <c r="A9" s="2" t="s">
        <v>73</v>
      </c>
      <c r="B9" s="2">
        <v>59</v>
      </c>
      <c r="C9" s="2" t="s">
        <v>8</v>
      </c>
      <c r="D9" s="2" t="s">
        <v>13</v>
      </c>
      <c r="E9" s="2">
        <v>39769</v>
      </c>
      <c r="F9" s="2">
        <v>1008</v>
      </c>
      <c r="G9" s="3"/>
    </row>
    <row r="10" spans="1:10" x14ac:dyDescent="0.3">
      <c r="A10" s="2" t="s">
        <v>74</v>
      </c>
      <c r="B10" s="2">
        <v>26</v>
      </c>
      <c r="C10" s="2" t="s">
        <v>8</v>
      </c>
      <c r="D10" s="2" t="s">
        <v>9</v>
      </c>
      <c r="E10" s="2">
        <v>75792</v>
      </c>
      <c r="F10" s="2">
        <v>1009</v>
      </c>
      <c r="G10" s="3"/>
    </row>
    <row r="11" spans="1:10" x14ac:dyDescent="0.3">
      <c r="A11" s="2" t="s">
        <v>75</v>
      </c>
      <c r="B11" s="2">
        <v>58</v>
      </c>
      <c r="C11" s="2" t="s">
        <v>6</v>
      </c>
      <c r="D11" s="2" t="s">
        <v>7</v>
      </c>
      <c r="E11" s="2">
        <v>148988</v>
      </c>
      <c r="F11" s="2">
        <v>1010</v>
      </c>
      <c r="G11" s="3"/>
    </row>
    <row r="12" spans="1:10" x14ac:dyDescent="0.3">
      <c r="A12" s="2" t="s">
        <v>76</v>
      </c>
      <c r="B12" s="2">
        <v>44</v>
      </c>
      <c r="C12" s="2" t="s">
        <v>8</v>
      </c>
      <c r="D12" s="2" t="s">
        <v>7</v>
      </c>
      <c r="E12" s="2">
        <v>98803</v>
      </c>
      <c r="F12" s="2">
        <v>1011</v>
      </c>
      <c r="G12" s="3"/>
    </row>
    <row r="13" spans="1:10" x14ac:dyDescent="0.3">
      <c r="A13" s="2" t="s">
        <v>77</v>
      </c>
      <c r="B13" s="2">
        <v>39</v>
      </c>
      <c r="C13" s="2" t="s">
        <v>8</v>
      </c>
      <c r="D13" s="2" t="s">
        <v>11</v>
      </c>
      <c r="E13" s="2">
        <v>172266</v>
      </c>
      <c r="F13" s="2">
        <v>1012</v>
      </c>
      <c r="G13" s="3"/>
    </row>
    <row r="14" spans="1:10" x14ac:dyDescent="0.3">
      <c r="A14" s="2" t="s">
        <v>78</v>
      </c>
      <c r="B14" s="2">
        <v>54</v>
      </c>
      <c r="C14" s="2" t="s">
        <v>6</v>
      </c>
      <c r="D14" s="2" t="s">
        <v>14</v>
      </c>
      <c r="E14" s="2">
        <v>136087</v>
      </c>
      <c r="F14" s="2">
        <v>1013</v>
      </c>
      <c r="G14" s="3"/>
    </row>
    <row r="15" spans="1:10" x14ac:dyDescent="0.3">
      <c r="A15" s="2" t="s">
        <v>79</v>
      </c>
      <c r="B15" s="2">
        <v>34</v>
      </c>
      <c r="C15" s="2" t="s">
        <v>8</v>
      </c>
      <c r="D15" s="2" t="s">
        <v>9</v>
      </c>
      <c r="E15" s="2">
        <v>30479</v>
      </c>
      <c r="F15" s="2">
        <v>1014</v>
      </c>
      <c r="G15" s="3"/>
    </row>
    <row r="16" spans="1:10" x14ac:dyDescent="0.3">
      <c r="A16" s="2" t="s">
        <v>80</v>
      </c>
      <c r="B16" s="2">
        <v>47</v>
      </c>
      <c r="C16" s="2" t="s">
        <v>8</v>
      </c>
      <c r="D16" s="2" t="s">
        <v>7</v>
      </c>
      <c r="E16" s="2">
        <v>150145</v>
      </c>
      <c r="F16" s="2">
        <v>1015</v>
      </c>
      <c r="G16" s="3"/>
    </row>
    <row r="17" spans="1:7" x14ac:dyDescent="0.3">
      <c r="A17" s="2" t="s">
        <v>81</v>
      </c>
      <c r="B17" s="2">
        <v>35</v>
      </c>
      <c r="C17" s="2" t="s">
        <v>8</v>
      </c>
      <c r="D17" s="2" t="s">
        <v>15</v>
      </c>
      <c r="E17" s="2">
        <v>158214</v>
      </c>
      <c r="F17" s="2">
        <v>1016</v>
      </c>
      <c r="G17" s="3"/>
    </row>
    <row r="18" spans="1:7" x14ac:dyDescent="0.3">
      <c r="A18" s="2" t="s">
        <v>82</v>
      </c>
      <c r="B18" s="2">
        <v>27</v>
      </c>
      <c r="C18" s="2" t="s">
        <v>8</v>
      </c>
      <c r="D18" s="2" t="s">
        <v>16</v>
      </c>
      <c r="E18" s="2">
        <v>121734</v>
      </c>
      <c r="F18" s="2">
        <v>1017</v>
      </c>
      <c r="G18" s="3"/>
    </row>
  </sheetData>
  <pageMargins left="0.25" right="0.25" top="0.75" bottom="0.75" header="0.3" footer="0.3"/>
  <pageSetup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9DBF6-B420-47D2-BA98-164750A92C94}">
  <sheetPr>
    <pageSetUpPr fitToPage="1"/>
  </sheetPr>
  <dimension ref="A1:N38"/>
  <sheetViews>
    <sheetView zoomScale="85" zoomScaleNormal="145" workbookViewId="0">
      <selection activeCell="K12" sqref="K12"/>
    </sheetView>
  </sheetViews>
  <sheetFormatPr defaultRowHeight="14.4" x14ac:dyDescent="0.3"/>
  <cols>
    <col min="1" max="2" width="9.6640625" customWidth="1"/>
    <col min="3" max="3" width="19.5546875" bestFit="1" customWidth="1"/>
    <col min="4" max="4" width="7.77734375" customWidth="1"/>
    <col min="5" max="5" width="9.77734375" customWidth="1"/>
    <col min="6" max="6" width="16.21875" bestFit="1" customWidth="1"/>
    <col min="7" max="7" width="11" customWidth="1"/>
    <col min="9" max="10" width="13" customWidth="1"/>
    <col min="11" max="11" width="19" bestFit="1" customWidth="1"/>
    <col min="13" max="13" width="11.109375" customWidth="1"/>
    <col min="14" max="14" width="19.21875" bestFit="1" customWidth="1"/>
    <col min="16" max="16" width="16.109375" bestFit="1" customWidth="1"/>
  </cols>
  <sheetData>
    <row r="1" spans="1:11" x14ac:dyDescent="0.3">
      <c r="A1" s="1" t="s">
        <v>0</v>
      </c>
      <c r="B1" s="1" t="s">
        <v>83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I1" s="14"/>
    </row>
    <row r="2" spans="1:11" x14ac:dyDescent="0.3">
      <c r="A2" s="2">
        <v>1001</v>
      </c>
      <c r="B2" s="2" t="s">
        <v>84</v>
      </c>
      <c r="C2" s="2" t="s">
        <v>17</v>
      </c>
      <c r="D2" s="2">
        <v>37</v>
      </c>
      <c r="E2" s="2" t="s">
        <v>6</v>
      </c>
      <c r="F2" s="2" t="s">
        <v>7</v>
      </c>
      <c r="G2" s="2">
        <v>149030</v>
      </c>
      <c r="I2" s="3"/>
      <c r="J2" s="15" t="s">
        <v>0</v>
      </c>
      <c r="K2" s="16">
        <v>1007</v>
      </c>
    </row>
    <row r="3" spans="1:11" x14ac:dyDescent="0.3">
      <c r="A3" s="2">
        <v>1002</v>
      </c>
      <c r="B3" s="2" t="s">
        <v>85</v>
      </c>
      <c r="C3" s="2" t="s">
        <v>18</v>
      </c>
      <c r="D3" s="2">
        <v>46</v>
      </c>
      <c r="E3" s="2" t="s">
        <v>8</v>
      </c>
      <c r="F3" s="2" t="s">
        <v>9</v>
      </c>
      <c r="G3" s="2">
        <v>182507</v>
      </c>
      <c r="I3" s="3"/>
      <c r="J3" s="1" t="s">
        <v>1</v>
      </c>
      <c r="K3" s="17" t="str">
        <f>IFERROR(VLOOKUP($K$2,$A$1:$G$18,ROW(),0),VLOOKUP($K$2,B1:G18,ROW()-1,0))</f>
        <v>Bijendra Singh</v>
      </c>
    </row>
    <row r="4" spans="1:11" x14ac:dyDescent="0.3">
      <c r="A4" s="2">
        <v>1003</v>
      </c>
      <c r="B4" s="2" t="s">
        <v>86</v>
      </c>
      <c r="C4" s="2" t="s">
        <v>19</v>
      </c>
      <c r="D4" s="2">
        <v>45</v>
      </c>
      <c r="E4" s="2" t="s">
        <v>8</v>
      </c>
      <c r="F4" s="2" t="s">
        <v>10</v>
      </c>
      <c r="G4" s="2">
        <v>100741</v>
      </c>
      <c r="I4" s="3"/>
      <c r="J4" s="1" t="s">
        <v>2</v>
      </c>
      <c r="K4" s="17">
        <f t="shared" ref="K4:K7" si="0">IFERROR(VLOOKUP($K$2,$A$1:$G$18,ROW(),0),VLOOKUP($K$2,B2:G19,ROW()-1,0))</f>
        <v>53</v>
      </c>
    </row>
    <row r="5" spans="1:11" x14ac:dyDescent="0.3">
      <c r="A5" s="2">
        <v>1004</v>
      </c>
      <c r="B5" s="2" t="s">
        <v>87</v>
      </c>
      <c r="C5" s="2" t="s">
        <v>20</v>
      </c>
      <c r="D5" s="2">
        <v>59</v>
      </c>
      <c r="E5" s="2" t="s">
        <v>6</v>
      </c>
      <c r="F5" s="2" t="s">
        <v>7</v>
      </c>
      <c r="G5" s="2">
        <v>84784</v>
      </c>
      <c r="I5" s="3"/>
      <c r="J5" s="1" t="s">
        <v>3</v>
      </c>
      <c r="K5" s="17" t="str">
        <f t="shared" si="0"/>
        <v>Female</v>
      </c>
    </row>
    <row r="6" spans="1:11" x14ac:dyDescent="0.3">
      <c r="A6" s="2">
        <v>1005</v>
      </c>
      <c r="B6" s="2" t="s">
        <v>88</v>
      </c>
      <c r="C6" s="2" t="s">
        <v>21</v>
      </c>
      <c r="D6" s="2">
        <v>59</v>
      </c>
      <c r="E6" s="2" t="s">
        <v>6</v>
      </c>
      <c r="F6" s="2" t="s">
        <v>11</v>
      </c>
      <c r="G6" s="2">
        <v>184551</v>
      </c>
      <c r="I6" s="3"/>
      <c r="J6" s="1" t="s">
        <v>4</v>
      </c>
      <c r="K6" s="17" t="str">
        <f t="shared" si="0"/>
        <v>Operations</v>
      </c>
    </row>
    <row r="7" spans="1:11" x14ac:dyDescent="0.3">
      <c r="A7" s="2">
        <v>1006</v>
      </c>
      <c r="B7" s="2" t="s">
        <v>89</v>
      </c>
      <c r="C7" s="2" t="s">
        <v>22</v>
      </c>
      <c r="D7" s="2">
        <v>48</v>
      </c>
      <c r="E7" s="2" t="s">
        <v>6</v>
      </c>
      <c r="F7" s="2" t="s">
        <v>12</v>
      </c>
      <c r="G7" s="2">
        <v>127313</v>
      </c>
      <c r="I7" s="3"/>
      <c r="J7" s="1" t="s">
        <v>5</v>
      </c>
      <c r="K7" s="17">
        <f t="shared" si="0"/>
        <v>31809</v>
      </c>
    </row>
    <row r="8" spans="1:11" x14ac:dyDescent="0.3">
      <c r="A8" s="2">
        <v>1007</v>
      </c>
      <c r="B8" s="2" t="s">
        <v>90</v>
      </c>
      <c r="C8" s="2" t="s">
        <v>23</v>
      </c>
      <c r="D8" s="2">
        <v>53</v>
      </c>
      <c r="E8" s="2" t="s">
        <v>8</v>
      </c>
      <c r="F8" s="2" t="s">
        <v>10</v>
      </c>
      <c r="G8" s="2">
        <v>31809</v>
      </c>
      <c r="I8" s="3"/>
    </row>
    <row r="9" spans="1:11" x14ac:dyDescent="0.3">
      <c r="A9" s="2">
        <v>1008</v>
      </c>
      <c r="B9" s="2" t="s">
        <v>91</v>
      </c>
      <c r="C9" s="2" t="s">
        <v>24</v>
      </c>
      <c r="D9" s="2">
        <v>59</v>
      </c>
      <c r="E9" s="2" t="s">
        <v>8</v>
      </c>
      <c r="F9" s="2" t="s">
        <v>13</v>
      </c>
      <c r="G9" s="2">
        <v>39769</v>
      </c>
      <c r="I9" s="3"/>
    </row>
    <row r="10" spans="1:11" x14ac:dyDescent="0.3">
      <c r="A10" s="2">
        <v>1009</v>
      </c>
      <c r="B10" s="2" t="s">
        <v>92</v>
      </c>
      <c r="C10" s="2" t="s">
        <v>25</v>
      </c>
      <c r="D10" s="2">
        <v>26</v>
      </c>
      <c r="E10" s="2" t="s">
        <v>8</v>
      </c>
      <c r="F10" s="2" t="s">
        <v>9</v>
      </c>
      <c r="G10" s="2">
        <v>75792</v>
      </c>
      <c r="I10" s="3"/>
      <c r="J10" s="15" t="s">
        <v>83</v>
      </c>
      <c r="K10" s="6" t="s">
        <v>86</v>
      </c>
    </row>
    <row r="11" spans="1:11" x14ac:dyDescent="0.3">
      <c r="A11" s="2">
        <v>1010</v>
      </c>
      <c r="B11" s="2" t="s">
        <v>93</v>
      </c>
      <c r="C11" s="2" t="s">
        <v>26</v>
      </c>
      <c r="D11" s="2">
        <v>58</v>
      </c>
      <c r="E11" s="2" t="s">
        <v>6</v>
      </c>
      <c r="F11" s="2" t="s">
        <v>7</v>
      </c>
      <c r="G11" s="2">
        <v>148988</v>
      </c>
      <c r="I11" s="3"/>
      <c r="J11" s="18" t="s">
        <v>1</v>
      </c>
      <c r="K11" s="6" t="str">
        <f>IFERROR(VLOOKUP($K$10,$A$1:$G$18,ROW()-8,0),VLOOKUP($K$10,$B$1:$G$18,ROW()-9,0))</f>
        <v>Roshan Zameer</v>
      </c>
    </row>
    <row r="12" spans="1:11" x14ac:dyDescent="0.3">
      <c r="A12" s="2">
        <v>1011</v>
      </c>
      <c r="B12" s="2" t="s">
        <v>94</v>
      </c>
      <c r="C12" s="2" t="s">
        <v>27</v>
      </c>
      <c r="D12" s="2">
        <v>44</v>
      </c>
      <c r="E12" s="2" t="s">
        <v>8</v>
      </c>
      <c r="F12" s="2" t="s">
        <v>7</v>
      </c>
      <c r="G12" s="2">
        <v>98803</v>
      </c>
      <c r="I12" s="3"/>
      <c r="J12" s="18" t="s">
        <v>2</v>
      </c>
      <c r="K12" s="6">
        <f t="shared" ref="K12:K15" si="1">IFERROR(VLOOKUP($K$10,$A$1:$G$18,ROW()-8,0),VLOOKUP($K$10,$B$1:$G$18,ROW()-9,0))</f>
        <v>45</v>
      </c>
    </row>
    <row r="13" spans="1:11" x14ac:dyDescent="0.3">
      <c r="A13" s="2">
        <v>1012</v>
      </c>
      <c r="B13" s="2" t="s">
        <v>95</v>
      </c>
      <c r="C13" s="2" t="s">
        <v>28</v>
      </c>
      <c r="D13" s="2">
        <v>39</v>
      </c>
      <c r="E13" s="2" t="s">
        <v>8</v>
      </c>
      <c r="F13" s="2" t="s">
        <v>11</v>
      </c>
      <c r="G13" s="2">
        <v>172266</v>
      </c>
      <c r="I13" s="3"/>
      <c r="J13" s="18" t="s">
        <v>3</v>
      </c>
      <c r="K13" s="6" t="str">
        <f t="shared" si="1"/>
        <v>Female</v>
      </c>
    </row>
    <row r="14" spans="1:11" x14ac:dyDescent="0.3">
      <c r="A14" s="2">
        <v>1013</v>
      </c>
      <c r="B14" s="2" t="s">
        <v>96</v>
      </c>
      <c r="C14" s="2" t="s">
        <v>29</v>
      </c>
      <c r="D14" s="2">
        <v>54</v>
      </c>
      <c r="E14" s="2" t="s">
        <v>6</v>
      </c>
      <c r="F14" s="2" t="s">
        <v>14</v>
      </c>
      <c r="G14" s="2">
        <v>136087</v>
      </c>
      <c r="I14" s="3"/>
      <c r="J14" s="18" t="s">
        <v>4</v>
      </c>
      <c r="K14" s="6" t="str">
        <f t="shared" si="1"/>
        <v>Operations</v>
      </c>
    </row>
    <row r="15" spans="1:11" x14ac:dyDescent="0.3">
      <c r="A15" s="2">
        <v>1014</v>
      </c>
      <c r="B15" s="2" t="s">
        <v>97</v>
      </c>
      <c r="C15" s="2" t="s">
        <v>30</v>
      </c>
      <c r="D15" s="2">
        <v>34</v>
      </c>
      <c r="E15" s="2" t="s">
        <v>8</v>
      </c>
      <c r="F15" s="2" t="s">
        <v>9</v>
      </c>
      <c r="G15" s="2">
        <v>30479</v>
      </c>
      <c r="I15" s="3"/>
      <c r="J15" s="18" t="s">
        <v>5</v>
      </c>
      <c r="K15" s="6">
        <f t="shared" si="1"/>
        <v>100741</v>
      </c>
    </row>
    <row r="16" spans="1:11" x14ac:dyDescent="0.3">
      <c r="A16" s="2">
        <v>1015</v>
      </c>
      <c r="B16" s="2" t="s">
        <v>98</v>
      </c>
      <c r="C16" s="2" t="s">
        <v>31</v>
      </c>
      <c r="D16" s="2">
        <v>47</v>
      </c>
      <c r="E16" s="2" t="s">
        <v>8</v>
      </c>
      <c r="F16" s="2" t="s">
        <v>7</v>
      </c>
      <c r="G16" s="2">
        <v>150145</v>
      </c>
      <c r="I16" s="3"/>
    </row>
    <row r="17" spans="1:14" x14ac:dyDescent="0.3">
      <c r="A17" s="2">
        <v>1016</v>
      </c>
      <c r="B17" s="2" t="s">
        <v>99</v>
      </c>
      <c r="C17" s="2" t="s">
        <v>32</v>
      </c>
      <c r="D17" s="2">
        <v>35</v>
      </c>
      <c r="E17" s="2" t="s">
        <v>8</v>
      </c>
      <c r="F17" s="2" t="s">
        <v>15</v>
      </c>
      <c r="G17" s="2">
        <v>158214</v>
      </c>
      <c r="I17" s="3"/>
    </row>
    <row r="18" spans="1:14" x14ac:dyDescent="0.3">
      <c r="A18" s="2">
        <v>1017</v>
      </c>
      <c r="B18" s="2" t="s">
        <v>100</v>
      </c>
      <c r="C18" s="2" t="s">
        <v>33</v>
      </c>
      <c r="D18" s="2">
        <v>27</v>
      </c>
      <c r="E18" s="2" t="s">
        <v>8</v>
      </c>
      <c r="F18" s="2" t="s">
        <v>16</v>
      </c>
      <c r="G18" s="2">
        <v>121734</v>
      </c>
      <c r="I18" s="3"/>
      <c r="J18" s="15" t="s">
        <v>83</v>
      </c>
      <c r="K18" s="16" t="s">
        <v>84</v>
      </c>
    </row>
    <row r="19" spans="1:14" x14ac:dyDescent="0.3">
      <c r="J19" s="6" t="s">
        <v>1</v>
      </c>
      <c r="K19" s="6" t="str">
        <f>IFERROR(VLOOKUP($K$18,$A$1:$G$18,ROW()-16,0),VLOOKUP($K$18,$B$1:$G$18,ROW()-17,0))</f>
        <v>Aniruddha Kale</v>
      </c>
    </row>
    <row r="20" spans="1:14" x14ac:dyDescent="0.3">
      <c r="J20" s="6" t="s">
        <v>2</v>
      </c>
      <c r="K20" s="6">
        <f t="shared" ref="K20:K23" si="2">IFERROR(VLOOKUP($K$18,$A$1:$G$18,ROW()-16,0),VLOOKUP($K$18,$B$1:$G$18,ROW()-17,0))</f>
        <v>37</v>
      </c>
      <c r="N20" t="str" cm="1">
        <f t="array" ref="N20:N37">INDEX(A1:G18,,1)</f>
        <v>EmpID</v>
      </c>
    </row>
    <row r="21" spans="1:14" x14ac:dyDescent="0.3">
      <c r="F21">
        <f>MATCH(G21,A1:G1,0)</f>
        <v>1</v>
      </c>
      <c r="G21" t="str" cm="1">
        <f t="array" ref="G21:G38">INDEX(A1:G18,,1)</f>
        <v>EmpID</v>
      </c>
      <c r="J21" s="6" t="s">
        <v>3</v>
      </c>
      <c r="K21" s="6" t="str">
        <f t="shared" si="2"/>
        <v>Male</v>
      </c>
      <c r="N21">
        <v>1001</v>
      </c>
    </row>
    <row r="22" spans="1:14" x14ac:dyDescent="0.3">
      <c r="G22">
        <v>1001</v>
      </c>
      <c r="J22" s="6" t="s">
        <v>4</v>
      </c>
      <c r="K22" s="6" t="str">
        <f t="shared" si="2"/>
        <v>Sales</v>
      </c>
      <c r="N22">
        <v>1002</v>
      </c>
    </row>
    <row r="23" spans="1:14" x14ac:dyDescent="0.3">
      <c r="G23">
        <v>1002</v>
      </c>
      <c r="J23" s="6" t="s">
        <v>5</v>
      </c>
      <c r="K23" s="6">
        <f t="shared" si="2"/>
        <v>149030</v>
      </c>
      <c r="N23">
        <v>1003</v>
      </c>
    </row>
    <row r="24" spans="1:14" x14ac:dyDescent="0.3">
      <c r="G24">
        <v>1003</v>
      </c>
      <c r="N24">
        <v>1004</v>
      </c>
    </row>
    <row r="25" spans="1:14" x14ac:dyDescent="0.3">
      <c r="G25">
        <v>1004</v>
      </c>
      <c r="N25">
        <v>1005</v>
      </c>
    </row>
    <row r="26" spans="1:14" x14ac:dyDescent="0.3">
      <c r="G26">
        <v>1005</v>
      </c>
      <c r="N26">
        <v>1006</v>
      </c>
    </row>
    <row r="27" spans="1:14" x14ac:dyDescent="0.3">
      <c r="G27">
        <v>1006</v>
      </c>
      <c r="N27">
        <v>1007</v>
      </c>
    </row>
    <row r="28" spans="1:14" x14ac:dyDescent="0.3">
      <c r="G28">
        <v>1007</v>
      </c>
      <c r="N28">
        <v>1008</v>
      </c>
    </row>
    <row r="29" spans="1:14" x14ac:dyDescent="0.3">
      <c r="G29">
        <v>1008</v>
      </c>
      <c r="N29">
        <v>1009</v>
      </c>
    </row>
    <row r="30" spans="1:14" x14ac:dyDescent="0.3">
      <c r="G30">
        <v>1009</v>
      </c>
      <c r="N30">
        <v>1010</v>
      </c>
    </row>
    <row r="31" spans="1:14" x14ac:dyDescent="0.3">
      <c r="G31">
        <v>1010</v>
      </c>
      <c r="N31">
        <v>1011</v>
      </c>
    </row>
    <row r="32" spans="1:14" x14ac:dyDescent="0.3">
      <c r="G32">
        <v>1011</v>
      </c>
      <c r="N32">
        <v>1012</v>
      </c>
    </row>
    <row r="33" spans="7:14" x14ac:dyDescent="0.3">
      <c r="G33">
        <v>1012</v>
      </c>
      <c r="N33">
        <v>1013</v>
      </c>
    </row>
    <row r="34" spans="7:14" x14ac:dyDescent="0.3">
      <c r="G34">
        <v>1013</v>
      </c>
      <c r="N34">
        <v>1014</v>
      </c>
    </row>
    <row r="35" spans="7:14" x14ac:dyDescent="0.3">
      <c r="G35">
        <v>1014</v>
      </c>
      <c r="N35">
        <v>1015</v>
      </c>
    </row>
    <row r="36" spans="7:14" x14ac:dyDescent="0.3">
      <c r="G36">
        <v>1015</v>
      </c>
      <c r="N36">
        <v>1016</v>
      </c>
    </row>
    <row r="37" spans="7:14" x14ac:dyDescent="0.3">
      <c r="G37">
        <v>1016</v>
      </c>
      <c r="N37">
        <v>1017</v>
      </c>
    </row>
    <row r="38" spans="7:14" x14ac:dyDescent="0.3">
      <c r="G38">
        <v>1017</v>
      </c>
    </row>
  </sheetData>
  <phoneticPr fontId="4" type="noConversion"/>
  <dataValidations count="4">
    <dataValidation type="list" allowBlank="1" showInputMessage="1" showErrorMessage="1" sqref="J2 J10 J18" xr:uid="{5D1E9693-0732-4FC4-B8DD-98DC9EEA1683}">
      <formula1>$A$1:$B$1</formula1>
    </dataValidation>
    <dataValidation type="list" allowBlank="1" showInputMessage="1" showErrorMessage="1" sqref="K2" xr:uid="{ACB52E5D-36AD-4EA1-A8DA-C95A7A190FDC}">
      <formula1>INDEX(A1:G18,,MATCH(J2,A1:G1,0))</formula1>
    </dataValidation>
    <dataValidation type="list" allowBlank="1" showInputMessage="1" showErrorMessage="1" sqref="K10" xr:uid="{C43ADBD7-AE6B-4421-9B3A-57FF859034C6}">
      <formula1>INDEX(A1:G18,,MATCH(J10,A1:G1,0))</formula1>
    </dataValidation>
    <dataValidation type="list" allowBlank="1" showInputMessage="1" showErrorMessage="1" sqref="K18" xr:uid="{02F0716A-58D5-459B-8BC9-CC942D586BBF}">
      <formula1>INDEX(A1:G18,,MATCH(J18,A1:G1,0))</formula1>
    </dataValidation>
  </dataValidations>
  <pageMargins left="0.25" right="0.25" top="0.75" bottom="0.75" header="0.3" footer="0.3"/>
  <pageSetup scale="97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544E9-CC33-42E4-9475-E843580FEFAA}">
  <dimension ref="A1:K19"/>
  <sheetViews>
    <sheetView zoomScale="115" zoomScaleNormal="115" workbookViewId="0">
      <selection activeCell="B11" sqref="B11"/>
    </sheetView>
  </sheetViews>
  <sheetFormatPr defaultRowHeight="14.4" x14ac:dyDescent="0.3"/>
  <cols>
    <col min="1" max="1" width="13.5546875" customWidth="1"/>
    <col min="2" max="2" width="13" bestFit="1" customWidth="1"/>
    <col min="5" max="5" width="18.44140625" customWidth="1"/>
    <col min="6" max="6" width="11.88671875" customWidth="1"/>
    <col min="7" max="7" width="14.5546875" customWidth="1"/>
    <col min="10" max="10" width="11.33203125" bestFit="1" customWidth="1"/>
  </cols>
  <sheetData>
    <row r="1" spans="1:11" x14ac:dyDescent="0.3">
      <c r="A1" s="21" t="s">
        <v>116</v>
      </c>
      <c r="B1" s="21"/>
      <c r="C1" s="21"/>
    </row>
    <row r="3" spans="1:11" x14ac:dyDescent="0.3">
      <c r="A3" s="6" t="s">
        <v>115</v>
      </c>
      <c r="B3" s="20">
        <v>44044</v>
      </c>
      <c r="C3" s="6"/>
      <c r="E3" s="6" t="s">
        <v>114</v>
      </c>
      <c r="F3" s="20">
        <v>44045</v>
      </c>
      <c r="G3" s="6"/>
      <c r="I3" s="6" t="s">
        <v>113</v>
      </c>
      <c r="J3" s="20">
        <v>44046</v>
      </c>
      <c r="K3" s="6"/>
    </row>
    <row r="4" spans="1:11" x14ac:dyDescent="0.3">
      <c r="A4" s="19" t="s">
        <v>112</v>
      </c>
      <c r="B4" s="19" t="s">
        <v>102</v>
      </c>
      <c r="C4" s="19" t="s">
        <v>101</v>
      </c>
      <c r="E4" s="19" t="s">
        <v>112</v>
      </c>
      <c r="F4" s="19" t="s">
        <v>102</v>
      </c>
      <c r="G4" s="19" t="s">
        <v>101</v>
      </c>
      <c r="I4" s="19" t="s">
        <v>112</v>
      </c>
      <c r="J4" s="19" t="s">
        <v>102</v>
      </c>
      <c r="K4" s="19" t="s">
        <v>101</v>
      </c>
    </row>
    <row r="5" spans="1:11" x14ac:dyDescent="0.3">
      <c r="A5" s="6">
        <v>1001</v>
      </c>
      <c r="B5" s="6" t="s">
        <v>104</v>
      </c>
      <c r="C5" s="6">
        <v>20</v>
      </c>
      <c r="E5" s="6">
        <v>1011</v>
      </c>
      <c r="F5" s="6" t="s">
        <v>108</v>
      </c>
      <c r="G5" s="6">
        <v>45</v>
      </c>
      <c r="I5" s="6">
        <v>1021</v>
      </c>
      <c r="J5" s="6" t="s">
        <v>106</v>
      </c>
      <c r="K5" s="6">
        <v>67</v>
      </c>
    </row>
    <row r="6" spans="1:11" x14ac:dyDescent="0.3">
      <c r="A6" s="6">
        <v>1002</v>
      </c>
      <c r="B6" s="6" t="s">
        <v>106</v>
      </c>
      <c r="C6" s="6">
        <v>25</v>
      </c>
      <c r="E6" s="6">
        <v>1012</v>
      </c>
      <c r="F6" s="6" t="s">
        <v>105</v>
      </c>
      <c r="G6" s="6">
        <v>35</v>
      </c>
      <c r="I6" s="6">
        <v>1022</v>
      </c>
      <c r="J6" s="6" t="s">
        <v>108</v>
      </c>
      <c r="K6" s="6">
        <v>87</v>
      </c>
    </row>
    <row r="7" spans="1:11" x14ac:dyDescent="0.3">
      <c r="A7" s="6">
        <v>1003</v>
      </c>
      <c r="B7" s="6" t="s">
        <v>105</v>
      </c>
      <c r="C7" s="6">
        <v>30</v>
      </c>
      <c r="E7" s="6">
        <v>1013</v>
      </c>
      <c r="F7" s="6" t="s">
        <v>104</v>
      </c>
      <c r="G7" s="6">
        <v>25</v>
      </c>
      <c r="I7" s="6">
        <v>1023</v>
      </c>
      <c r="J7" s="6" t="s">
        <v>110</v>
      </c>
      <c r="K7" s="6">
        <v>90</v>
      </c>
    </row>
    <row r="8" spans="1:11" x14ac:dyDescent="0.3">
      <c r="A8" s="6">
        <v>1004</v>
      </c>
      <c r="B8" s="6" t="s">
        <v>105</v>
      </c>
      <c r="C8" s="6">
        <v>35</v>
      </c>
      <c r="E8" s="6">
        <v>1014</v>
      </c>
      <c r="F8" s="6" t="s">
        <v>105</v>
      </c>
      <c r="G8" s="6">
        <v>25</v>
      </c>
      <c r="I8" s="6">
        <v>1024</v>
      </c>
      <c r="J8" s="6" t="s">
        <v>106</v>
      </c>
      <c r="K8" s="6">
        <v>35</v>
      </c>
    </row>
    <row r="9" spans="1:11" x14ac:dyDescent="0.3">
      <c r="A9" s="6">
        <v>1005</v>
      </c>
      <c r="B9" s="6" t="s">
        <v>110</v>
      </c>
      <c r="C9" s="6">
        <v>40</v>
      </c>
      <c r="E9" s="6">
        <v>1015</v>
      </c>
      <c r="F9" s="6" t="s">
        <v>104</v>
      </c>
      <c r="G9" s="6">
        <v>25</v>
      </c>
      <c r="I9" s="6">
        <v>1025</v>
      </c>
      <c r="J9" s="6" t="s">
        <v>105</v>
      </c>
      <c r="K9" s="6">
        <v>40</v>
      </c>
    </row>
    <row r="10" spans="1:11" x14ac:dyDescent="0.3">
      <c r="A10" s="6">
        <v>1006</v>
      </c>
      <c r="B10" s="6" t="s">
        <v>111</v>
      </c>
      <c r="C10" s="6">
        <v>45</v>
      </c>
      <c r="E10" s="6">
        <v>1016</v>
      </c>
      <c r="F10" s="6" t="s">
        <v>111</v>
      </c>
      <c r="G10" s="6">
        <v>25</v>
      </c>
      <c r="I10" s="6">
        <v>1026</v>
      </c>
      <c r="J10" s="6" t="s">
        <v>111</v>
      </c>
      <c r="K10" s="6">
        <v>23</v>
      </c>
    </row>
    <row r="11" spans="1:11" x14ac:dyDescent="0.3">
      <c r="A11" s="6">
        <v>1007</v>
      </c>
      <c r="B11" s="6" t="s">
        <v>109</v>
      </c>
      <c r="C11" s="6">
        <v>50</v>
      </c>
      <c r="E11" s="6">
        <v>1017</v>
      </c>
      <c r="F11" s="6" t="s">
        <v>109</v>
      </c>
      <c r="G11" s="6">
        <v>25</v>
      </c>
      <c r="I11" s="6">
        <v>1027</v>
      </c>
      <c r="J11" s="6" t="s">
        <v>109</v>
      </c>
      <c r="K11" s="6">
        <v>65</v>
      </c>
    </row>
    <row r="12" spans="1:11" x14ac:dyDescent="0.3">
      <c r="A12" s="6">
        <v>1008</v>
      </c>
      <c r="B12" s="6" t="s">
        <v>107</v>
      </c>
      <c r="C12" s="6">
        <v>55</v>
      </c>
      <c r="E12" s="6">
        <v>1018</v>
      </c>
      <c r="F12" s="6" t="s">
        <v>111</v>
      </c>
      <c r="G12" s="6">
        <v>25</v>
      </c>
      <c r="I12" s="6">
        <v>1028</v>
      </c>
      <c r="J12" s="6" t="s">
        <v>110</v>
      </c>
      <c r="K12" s="6">
        <v>87</v>
      </c>
    </row>
    <row r="13" spans="1:11" x14ac:dyDescent="0.3">
      <c r="A13" s="6">
        <v>1009</v>
      </c>
      <c r="B13" s="6" t="s">
        <v>109</v>
      </c>
      <c r="C13" s="6">
        <v>60</v>
      </c>
      <c r="E13" s="6">
        <v>1019</v>
      </c>
      <c r="F13" s="6" t="s">
        <v>108</v>
      </c>
      <c r="G13" s="6">
        <v>34</v>
      </c>
      <c r="I13" s="6">
        <v>1029</v>
      </c>
      <c r="J13" s="6" t="s">
        <v>107</v>
      </c>
      <c r="K13" s="6">
        <v>98</v>
      </c>
    </row>
    <row r="14" spans="1:11" x14ac:dyDescent="0.3">
      <c r="A14" s="6">
        <v>1010</v>
      </c>
      <c r="B14" s="6" t="s">
        <v>106</v>
      </c>
      <c r="C14" s="6">
        <v>65</v>
      </c>
      <c r="E14" s="6">
        <v>1020</v>
      </c>
      <c r="F14" s="6" t="s">
        <v>105</v>
      </c>
      <c r="G14" s="6">
        <v>55</v>
      </c>
      <c r="I14" s="6">
        <v>1030</v>
      </c>
      <c r="J14" s="6" t="s">
        <v>104</v>
      </c>
      <c r="K14" s="6">
        <v>70</v>
      </c>
    </row>
    <row r="17" spans="5:6" x14ac:dyDescent="0.3">
      <c r="E17" s="6" t="s">
        <v>103</v>
      </c>
      <c r="F17" s="6">
        <v>1008</v>
      </c>
    </row>
    <row r="18" spans="5:6" x14ac:dyDescent="0.3">
      <c r="E18" s="6" t="s">
        <v>102</v>
      </c>
      <c r="F18" s="6" t="str">
        <f>VLOOKUP($F$17,IF($F$17&lt;=1010,Data1,IF($F$17&lt;=1020,Data2,IF($F$17&lt;=1030,Data3))),ROW()-16,0)</f>
        <v>SSD</v>
      </c>
    </row>
    <row r="19" spans="5:6" x14ac:dyDescent="0.3">
      <c r="E19" s="6" t="s">
        <v>101</v>
      </c>
      <c r="F19" s="6">
        <f>VLOOKUP($F$17,IF($F$17&lt;=1010,Data1,IF($F$17&lt;=1020,Data2,IF($F$17&lt;=1030,Data3))),ROW()-16,0)</f>
        <v>55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Vlookup 1</vt:lpstr>
      <vt:lpstr>VLOOKUP 2</vt:lpstr>
      <vt:lpstr>Vlookup 3</vt:lpstr>
      <vt:lpstr>Vlookup 4</vt:lpstr>
      <vt:lpstr>Vlookup 5 Reverse Lookup</vt:lpstr>
      <vt:lpstr>6 - Double Vlookup</vt:lpstr>
      <vt:lpstr>7 - Multi Table V-Lookup</vt:lpstr>
      <vt:lpstr>Data1</vt:lpstr>
      <vt:lpstr>Data2</vt:lpstr>
      <vt:lpstr>Data3</vt:lpstr>
      <vt:lpstr>Exam_Seat_No</vt:lpstr>
      <vt:lpstr>Incentive_Target</vt:lpstr>
      <vt:lpstr>Roll_Number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 kashyap</cp:lastModifiedBy>
  <cp:lastPrinted>2024-07-09T06:25:02Z</cp:lastPrinted>
  <dcterms:created xsi:type="dcterms:W3CDTF">2023-08-21T14:30:52Z</dcterms:created>
  <dcterms:modified xsi:type="dcterms:W3CDTF">2025-11-02T04:48:38Z</dcterms:modified>
</cp:coreProperties>
</file>