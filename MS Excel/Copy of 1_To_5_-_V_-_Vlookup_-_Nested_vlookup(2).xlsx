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8_{14D8E7D1-9969-4521-B7F1-AFBAF521D127}" xr6:coauthVersionLast="47" xr6:coauthVersionMax="47" xr10:uidLastSave="{00000000-0000-0000-0000-000000000000}"/>
  <bookViews>
    <workbookView xWindow="-108" yWindow="-108" windowWidth="23256" windowHeight="13176" activeTab="4" xr2:uid="{352589D4-B4BF-4127-8F14-865A7AD94C4F}"/>
  </bookViews>
  <sheets>
    <sheet name="Vlookup 1" sheetId="1" r:id="rId1"/>
    <sheet name="VLOOKUP 2" sheetId="2" r:id="rId2"/>
    <sheet name="Vlookup 3" sheetId="3" r:id="rId3"/>
    <sheet name="Vlookup 4" sheetId="4" r:id="rId4"/>
    <sheet name="Vlookup 5 Reverse Lookup" sheetId="5" r:id="rId5"/>
  </sheets>
  <definedNames>
    <definedName name="Exam_Seat_No">'Vlookup 4'!$G$1:$I$11</definedName>
    <definedName name="Incentive_Target">'VLOOKUP 2'!$G$1:$H$7</definedName>
    <definedName name="Roll_Number">'Vlookup 4'!$A$1:$B$11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5" l="1"/>
  <c r="E31" i="5"/>
  <c r="F31" i="5"/>
  <c r="D32" i="5"/>
  <c r="E32" i="5"/>
  <c r="F32" i="5"/>
  <c r="D33" i="5"/>
  <c r="E33" i="5"/>
  <c r="F33" i="5"/>
  <c r="D34" i="5"/>
  <c r="E34" i="5"/>
  <c r="F34" i="5"/>
  <c r="D35" i="5"/>
  <c r="E35" i="5"/>
  <c r="F35" i="5"/>
  <c r="D30" i="5"/>
  <c r="E30" i="5"/>
  <c r="F30" i="5"/>
  <c r="C31" i="5"/>
  <c r="C32" i="5"/>
  <c r="C33" i="5"/>
  <c r="C34" i="5"/>
  <c r="C35" i="5"/>
  <c r="C30" i="5"/>
  <c r="B31" i="5"/>
  <c r="B32" i="5"/>
  <c r="B33" i="5"/>
  <c r="B34" i="5"/>
  <c r="B35" i="5"/>
  <c r="B30" i="5"/>
  <c r="C29" i="5"/>
  <c r="D29" i="5"/>
  <c r="E29" i="5"/>
  <c r="F29" i="5"/>
  <c r="B28" i="5"/>
  <c r="B29" i="5"/>
  <c r="C28" i="5"/>
  <c r="D28" i="5"/>
  <c r="E28" i="5"/>
  <c r="F28" i="5"/>
  <c r="K29" i="5" a="1"/>
  <c r="K29" i="5" s="1"/>
  <c r="J3" i="5"/>
  <c r="J4" i="5"/>
  <c r="J5" i="5"/>
  <c r="J6" i="5"/>
  <c r="J2" i="5"/>
  <c r="K8" i="5" a="1"/>
  <c r="K8" i="5" s="1"/>
  <c r="E6" i="4"/>
  <c r="E5" i="4"/>
  <c r="J3" i="3"/>
  <c r="J4" i="3"/>
  <c r="J5" i="3"/>
  <c r="J6" i="3"/>
  <c r="J2" i="3"/>
  <c r="J3" i="1"/>
  <c r="J4" i="1"/>
  <c r="J5" i="1"/>
  <c r="J6" i="1"/>
  <c r="J2" i="1"/>
  <c r="J20" i="1"/>
  <c r="J21" i="1"/>
  <c r="J22" i="1"/>
  <c r="J23" i="1"/>
  <c r="J19" i="1"/>
  <c r="J13" i="1"/>
  <c r="J14" i="1"/>
  <c r="J15" i="1"/>
  <c r="J16" i="1"/>
  <c r="J12" i="1"/>
  <c r="K3" i="1"/>
  <c r="K4" i="1"/>
  <c r="K5" i="1"/>
  <c r="K6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<sst xmlns="http://schemas.openxmlformats.org/spreadsheetml/2006/main" count="279" uniqueCount="66">
  <si>
    <t>EmpID</t>
  </si>
  <si>
    <t>Name</t>
  </si>
  <si>
    <t>Age</t>
  </si>
  <si>
    <t>Gender</t>
  </si>
  <si>
    <t>Position</t>
  </si>
  <si>
    <t>Salary</t>
  </si>
  <si>
    <t>Male</t>
  </si>
  <si>
    <t>Sales</t>
  </si>
  <si>
    <t>Female</t>
  </si>
  <si>
    <t>Finance</t>
  </si>
  <si>
    <t>Operations</t>
  </si>
  <si>
    <t>Product Manager</t>
  </si>
  <si>
    <t>Data Scientist</t>
  </si>
  <si>
    <t>Marketing</t>
  </si>
  <si>
    <t>HR</t>
  </si>
  <si>
    <t>Software Engineer</t>
  </si>
  <si>
    <t>Support</t>
  </si>
  <si>
    <t>Aniruddha Kale</t>
  </si>
  <si>
    <t>Aslam Raza</t>
  </si>
  <si>
    <t>Roshan Zameer</t>
  </si>
  <si>
    <t>Rakesh Sharma</t>
  </si>
  <si>
    <t>Shivanand Sahani</t>
  </si>
  <si>
    <t>Kuntal Patra</t>
  </si>
  <si>
    <t>Bijendra Singh</t>
  </si>
  <si>
    <t>Kranti Bheke</t>
  </si>
  <si>
    <t>Jagdeep Paward</t>
  </si>
  <si>
    <t>Adhir Samal</t>
  </si>
  <si>
    <t>Dannana Jhammi</t>
  </si>
  <si>
    <t>Vipin Kumar</t>
  </si>
  <si>
    <t>Ranjeet Kumar</t>
  </si>
  <si>
    <t>Sajal Singhal</t>
  </si>
  <si>
    <t>Akhilesh Kumar</t>
  </si>
  <si>
    <t>Suvankar Chakraborty</t>
  </si>
  <si>
    <t>Suvankar Adhikary</t>
  </si>
  <si>
    <t>Salesman</t>
  </si>
  <si>
    <t>Target</t>
  </si>
  <si>
    <t>Incentive</t>
  </si>
  <si>
    <t>Student Name</t>
  </si>
  <si>
    <t>Exam Seat No</t>
  </si>
  <si>
    <t>Classroom</t>
  </si>
  <si>
    <t>Roll No</t>
  </si>
  <si>
    <t>8A</t>
  </si>
  <si>
    <t>9B</t>
  </si>
  <si>
    <t>9C</t>
  </si>
  <si>
    <t>8C</t>
  </si>
  <si>
    <t>8B</t>
  </si>
  <si>
    <t>Arpit Shah</t>
  </si>
  <si>
    <t>Shakti Bhargav</t>
  </si>
  <si>
    <t>Bijendra Gupta</t>
  </si>
  <si>
    <t>Kranti Singh</t>
  </si>
  <si>
    <t>A209</t>
  </si>
  <si>
    <t>A210</t>
  </si>
  <si>
    <t>A211</t>
  </si>
  <si>
    <t>A212</t>
  </si>
  <si>
    <t>B209</t>
  </si>
  <si>
    <t>C209</t>
  </si>
  <si>
    <t>B210</t>
  </si>
  <si>
    <t>C210</t>
  </si>
  <si>
    <t>B212</t>
  </si>
  <si>
    <t>C213</t>
  </si>
  <si>
    <t>Rajiv Gupta</t>
  </si>
  <si>
    <t>Satyajit Singh</t>
  </si>
  <si>
    <t>Vipul Sharma</t>
  </si>
  <si>
    <t>Ramesh Shinde</t>
  </si>
  <si>
    <t>Lokesh Sharma</t>
  </si>
  <si>
    <t>Karim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</si>
</sst>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horizontal="right" vertical="center"/>
    </xf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  <xf numFmtId="9" fontId="0" fillId="0" borderId="1" xfId="1" applyFont="1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" xfId="0" quotePrefix="1" applyBorder="1"/>
    <xf numFmtId="0" fontId="1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6FA40-68E2-4D21-8AB2-DC5FCD1AECF8}">
  <sheetPr codeName="Sheet1"/>
  <dimension ref="A1:K23"/>
  <sheetViews>
    <sheetView zoomScale="145" zoomScaleNormal="145" workbookViewId="0">
      <selection activeCell="A2" sqref="A2:A10"/>
    </sheetView>
  </sheetViews>
  <sheetFormatPr defaultRowHeight="14.4" x14ac:dyDescent="0.3"/>
  <cols>
    <col min="1" max="1" width="11.5546875" customWidth="1"/>
    <col min="2" max="2" width="19.21875" bestFit="1" customWidth="1"/>
    <col min="3" max="3" width="6.5546875" customWidth="1"/>
    <col min="4" max="4" width="7.21875" bestFit="1" customWidth="1"/>
    <col min="5" max="5" width="16.109375" bestFit="1" customWidth="1"/>
    <col min="6" max="6" width="10.6640625" customWidth="1"/>
    <col min="9" max="9" width="11.5546875" customWidth="1"/>
    <col min="10" max="10" width="18.44140625" customWidth="1"/>
    <col min="11" max="11" width="18.33203125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4">
        <v>1017</v>
      </c>
      <c r="K1" s="4">
        <v>1001</v>
      </c>
    </row>
    <row r="2" spans="1:11" s="3" customFormat="1" ht="20.399999999999999" customHeight="1" x14ac:dyDescent="0.3">
      <c r="A2" s="2">
        <v>1001</v>
      </c>
      <c r="B2" s="2" t="s">
        <v>17</v>
      </c>
      <c r="C2" s="2">
        <v>37</v>
      </c>
      <c r="D2" s="2" t="s">
        <v>6</v>
      </c>
      <c r="E2" s="2" t="s">
        <v>7</v>
      </c>
      <c r="F2" s="2">
        <v>149030</v>
      </c>
      <c r="H2" s="3">
        <v>2</v>
      </c>
      <c r="I2" s="1" t="s">
        <v>1</v>
      </c>
      <c r="J2" s="5" t="str">
        <f>VLOOKUP($J$1,$A$1:$F$18,H2,0)</f>
        <v>Suvankar Adhikary</v>
      </c>
      <c r="K2" s="5" t="str">
        <f>VLOOKUP($K$1,$A$1:$F$18,ROW(),0)</f>
        <v>Aniruddha Kale</v>
      </c>
    </row>
    <row r="3" spans="1:11" s="3" customFormat="1" ht="20.399999999999999" customHeight="1" x14ac:dyDescent="0.3">
      <c r="A3" s="2">
        <v>1002</v>
      </c>
      <c r="B3" s="2" t="s">
        <v>18</v>
      </c>
      <c r="C3" s="2">
        <v>46</v>
      </c>
      <c r="D3" s="2" t="s">
        <v>8</v>
      </c>
      <c r="E3" s="2" t="s">
        <v>9</v>
      </c>
      <c r="F3" s="2">
        <v>182507</v>
      </c>
      <c r="H3" s="3">
        <v>3</v>
      </c>
      <c r="I3" s="1" t="s">
        <v>2</v>
      </c>
      <c r="J3" s="5">
        <f t="shared" ref="J3:J6" si="0">VLOOKUP($J$1,$A$1:$F$18,H3,0)</f>
        <v>27</v>
      </c>
      <c r="K3" s="5">
        <f t="shared" ref="K3:K6" si="1">VLOOKUP($K$1,$A$1:$F$18,ROW(),0)</f>
        <v>37</v>
      </c>
    </row>
    <row r="4" spans="1:11" s="3" customFormat="1" ht="20.399999999999999" customHeight="1" x14ac:dyDescent="0.3">
      <c r="A4" s="2">
        <v>1003</v>
      </c>
      <c r="B4" s="2" t="s">
        <v>19</v>
      </c>
      <c r="C4" s="2">
        <v>45</v>
      </c>
      <c r="D4" s="2" t="s">
        <v>8</v>
      </c>
      <c r="E4" s="2" t="s">
        <v>10</v>
      </c>
      <c r="F4" s="2">
        <v>100741</v>
      </c>
      <c r="H4" s="3">
        <v>4</v>
      </c>
      <c r="I4" s="1" t="s">
        <v>3</v>
      </c>
      <c r="J4" s="5" t="str">
        <f t="shared" si="0"/>
        <v>Female</v>
      </c>
      <c r="K4" s="5" t="str">
        <f t="shared" si="1"/>
        <v>Male</v>
      </c>
    </row>
    <row r="5" spans="1:11" s="3" customFormat="1" ht="20.399999999999999" customHeight="1" x14ac:dyDescent="0.3">
      <c r="A5" s="2">
        <v>1004</v>
      </c>
      <c r="B5" s="2" t="s">
        <v>20</v>
      </c>
      <c r="C5" s="2">
        <v>59</v>
      </c>
      <c r="D5" s="2" t="s">
        <v>6</v>
      </c>
      <c r="E5" s="2" t="s">
        <v>7</v>
      </c>
      <c r="F5" s="2">
        <v>84784</v>
      </c>
      <c r="H5" s="3">
        <v>5</v>
      </c>
      <c r="I5" s="1" t="s">
        <v>4</v>
      </c>
      <c r="J5" s="5" t="str">
        <f t="shared" si="0"/>
        <v>Support</v>
      </c>
      <c r="K5" s="5" t="str">
        <f t="shared" si="1"/>
        <v>Sales</v>
      </c>
    </row>
    <row r="6" spans="1:11" s="3" customFormat="1" ht="20.399999999999999" customHeight="1" x14ac:dyDescent="0.3">
      <c r="A6" s="2">
        <v>1005</v>
      </c>
      <c r="B6" s="2" t="s">
        <v>21</v>
      </c>
      <c r="C6" s="2">
        <v>59</v>
      </c>
      <c r="D6" s="2" t="s">
        <v>6</v>
      </c>
      <c r="E6" s="2" t="s">
        <v>11</v>
      </c>
      <c r="F6" s="2">
        <v>184551</v>
      </c>
      <c r="H6" s="3">
        <v>6</v>
      </c>
      <c r="I6" s="1" t="s">
        <v>5</v>
      </c>
      <c r="J6" s="5">
        <f t="shared" si="0"/>
        <v>121734</v>
      </c>
      <c r="K6" s="5">
        <f t="shared" si="1"/>
        <v>149030</v>
      </c>
    </row>
    <row r="7" spans="1:11" s="3" customFormat="1" ht="20.399999999999999" customHeight="1" x14ac:dyDescent="0.3">
      <c r="A7" s="2">
        <v>1006</v>
      </c>
      <c r="B7" s="2" t="s">
        <v>22</v>
      </c>
      <c r="C7" s="2">
        <v>48</v>
      </c>
      <c r="D7" s="2" t="s">
        <v>6</v>
      </c>
      <c r="E7" s="2" t="s">
        <v>12</v>
      </c>
      <c r="F7" s="2">
        <v>127313</v>
      </c>
    </row>
    <row r="8" spans="1:11" s="3" customFormat="1" ht="20.399999999999999" customHeight="1" x14ac:dyDescent="0.3">
      <c r="A8" s="2">
        <v>1007</v>
      </c>
      <c r="B8" s="2" t="s">
        <v>23</v>
      </c>
      <c r="C8" s="2">
        <v>53</v>
      </c>
      <c r="D8" s="2" t="s">
        <v>8</v>
      </c>
      <c r="E8" s="2" t="s">
        <v>10</v>
      </c>
      <c r="F8" s="2">
        <v>31809</v>
      </c>
    </row>
    <row r="9" spans="1:11" s="3" customFormat="1" ht="20.399999999999999" customHeight="1" x14ac:dyDescent="0.3">
      <c r="A9" s="2">
        <v>1008</v>
      </c>
      <c r="B9" s="2" t="s">
        <v>24</v>
      </c>
      <c r="C9" s="2">
        <v>59</v>
      </c>
      <c r="D9" s="2" t="s">
        <v>8</v>
      </c>
      <c r="E9" s="2" t="s">
        <v>13</v>
      </c>
      <c r="F9" s="2">
        <v>39769</v>
      </c>
    </row>
    <row r="10" spans="1:11" s="3" customFormat="1" ht="20.399999999999999" customHeight="1" x14ac:dyDescent="0.3">
      <c r="A10" s="2">
        <v>1009</v>
      </c>
      <c r="B10" s="2" t="s">
        <v>25</v>
      </c>
      <c r="C10" s="2">
        <v>26</v>
      </c>
      <c r="D10" s="2" t="s">
        <v>8</v>
      </c>
      <c r="E10" s="2" t="s">
        <v>9</v>
      </c>
      <c r="F10" s="2">
        <v>75792</v>
      </c>
    </row>
    <row r="11" spans="1:11" s="3" customFormat="1" ht="20.399999999999999" customHeight="1" x14ac:dyDescent="0.3">
      <c r="A11" s="2">
        <v>1010</v>
      </c>
      <c r="B11" s="2" t="s">
        <v>26</v>
      </c>
      <c r="C11" s="2">
        <v>58</v>
      </c>
      <c r="D11" s="2" t="s">
        <v>6</v>
      </c>
      <c r="E11" s="2" t="s">
        <v>7</v>
      </c>
      <c r="F11" s="2">
        <v>148988</v>
      </c>
      <c r="I11" s="1" t="s">
        <v>0</v>
      </c>
      <c r="J11" s="3">
        <v>1001</v>
      </c>
    </row>
    <row r="12" spans="1:11" s="3" customFormat="1" ht="20.399999999999999" customHeight="1" x14ac:dyDescent="0.3">
      <c r="A12" s="2">
        <v>1011</v>
      </c>
      <c r="B12" s="2" t="s">
        <v>27</v>
      </c>
      <c r="C12" s="2">
        <v>44</v>
      </c>
      <c r="D12" s="2" t="s">
        <v>8</v>
      </c>
      <c r="E12" s="2" t="s">
        <v>7</v>
      </c>
      <c r="F12" s="2">
        <v>98803</v>
      </c>
      <c r="I12" s="1" t="s">
        <v>1</v>
      </c>
      <c r="J12" s="5" t="str">
        <f>VLOOKUP($J$11,A:F,ROW()-10,0)</f>
        <v>Aniruddha Kale</v>
      </c>
    </row>
    <row r="13" spans="1:11" s="3" customFormat="1" ht="20.399999999999999" customHeight="1" x14ac:dyDescent="0.3">
      <c r="A13" s="2">
        <v>1012</v>
      </c>
      <c r="B13" s="2" t="s">
        <v>28</v>
      </c>
      <c r="C13" s="2">
        <v>39</v>
      </c>
      <c r="D13" s="2" t="s">
        <v>8</v>
      </c>
      <c r="E13" s="2" t="s">
        <v>11</v>
      </c>
      <c r="F13" s="2">
        <v>172266</v>
      </c>
      <c r="I13" s="1" t="s">
        <v>2</v>
      </c>
      <c r="J13" s="5">
        <f t="shared" ref="J13:J16" si="2">VLOOKUP($J$11,A:F,ROW()-10,0)</f>
        <v>37</v>
      </c>
    </row>
    <row r="14" spans="1:11" s="3" customFormat="1" ht="20.399999999999999" customHeight="1" x14ac:dyDescent="0.3">
      <c r="A14" s="2">
        <v>1013</v>
      </c>
      <c r="B14" s="2" t="s">
        <v>29</v>
      </c>
      <c r="C14" s="2">
        <v>54</v>
      </c>
      <c r="D14" s="2" t="s">
        <v>6</v>
      </c>
      <c r="E14" s="2" t="s">
        <v>14</v>
      </c>
      <c r="F14" s="2">
        <v>136087</v>
      </c>
      <c r="I14" s="1" t="s">
        <v>3</v>
      </c>
      <c r="J14" s="5" t="str">
        <f t="shared" si="2"/>
        <v>Male</v>
      </c>
    </row>
    <row r="15" spans="1:11" s="3" customFormat="1" ht="20.399999999999999" customHeight="1" x14ac:dyDescent="0.3">
      <c r="A15" s="2">
        <v>1014</v>
      </c>
      <c r="B15" s="2" t="s">
        <v>30</v>
      </c>
      <c r="C15" s="2">
        <v>34</v>
      </c>
      <c r="D15" s="2" t="s">
        <v>8</v>
      </c>
      <c r="E15" s="2" t="s">
        <v>9</v>
      </c>
      <c r="F15" s="2">
        <v>30479</v>
      </c>
      <c r="I15" s="1" t="s">
        <v>4</v>
      </c>
      <c r="J15" s="5" t="str">
        <f t="shared" si="2"/>
        <v>Sales</v>
      </c>
    </row>
    <row r="16" spans="1:11" s="3" customFormat="1" ht="20.399999999999999" customHeight="1" x14ac:dyDescent="0.3">
      <c r="A16" s="2">
        <v>1015</v>
      </c>
      <c r="B16" s="2" t="s">
        <v>31</v>
      </c>
      <c r="C16" s="2">
        <v>47</v>
      </c>
      <c r="D16" s="2" t="s">
        <v>8</v>
      </c>
      <c r="E16" s="2" t="s">
        <v>7</v>
      </c>
      <c r="F16" s="2">
        <v>150145</v>
      </c>
      <c r="I16" s="1" t="s">
        <v>5</v>
      </c>
      <c r="J16" s="5">
        <f t="shared" si="2"/>
        <v>149030</v>
      </c>
    </row>
    <row r="17" spans="1:10" s="3" customFormat="1" ht="20.399999999999999" customHeight="1" x14ac:dyDescent="0.3">
      <c r="A17" s="2">
        <v>1016</v>
      </c>
      <c r="B17" s="2" t="s">
        <v>32</v>
      </c>
      <c r="C17" s="2">
        <v>35</v>
      </c>
      <c r="D17" s="2" t="s">
        <v>8</v>
      </c>
      <c r="E17" s="2" t="s">
        <v>15</v>
      </c>
      <c r="F17" s="2">
        <v>158214</v>
      </c>
    </row>
    <row r="18" spans="1:10" s="3" customFormat="1" ht="20.399999999999999" customHeight="1" x14ac:dyDescent="0.3">
      <c r="A18" s="2">
        <v>1017</v>
      </c>
      <c r="B18" s="2" t="s">
        <v>33</v>
      </c>
      <c r="C18" s="2">
        <v>27</v>
      </c>
      <c r="D18" s="2" t="s">
        <v>8</v>
      </c>
      <c r="E18" s="2" t="s">
        <v>16</v>
      </c>
      <c r="F18" s="2">
        <v>121734</v>
      </c>
      <c r="I18" s="1" t="s">
        <v>0</v>
      </c>
      <c r="J18" s="3">
        <v>1001</v>
      </c>
    </row>
    <row r="19" spans="1:10" x14ac:dyDescent="0.3">
      <c r="I19" s="1" t="s">
        <v>1</v>
      </c>
      <c r="J19" t="str">
        <f>VLOOKUP($J$18,A:F,ROW()-17,0)</f>
        <v>Aniruddha Kale</v>
      </c>
    </row>
    <row r="20" spans="1:10" x14ac:dyDescent="0.3">
      <c r="I20" s="1" t="s">
        <v>2</v>
      </c>
      <c r="J20">
        <f t="shared" ref="J20:J23" si="3">VLOOKUP($J$18,A:F,ROW()-17,0)</f>
        <v>37</v>
      </c>
    </row>
    <row r="21" spans="1:10" x14ac:dyDescent="0.3">
      <c r="I21" s="1" t="s">
        <v>3</v>
      </c>
      <c r="J21" t="str">
        <f t="shared" si="3"/>
        <v>Male</v>
      </c>
    </row>
    <row r="22" spans="1:10" x14ac:dyDescent="0.3">
      <c r="I22" s="1" t="s">
        <v>4</v>
      </c>
      <c r="J22" t="str">
        <f t="shared" si="3"/>
        <v>Sales</v>
      </c>
    </row>
    <row r="23" spans="1:10" x14ac:dyDescent="0.3">
      <c r="I23" s="1" t="s">
        <v>5</v>
      </c>
      <c r="J23">
        <f t="shared" si="3"/>
        <v>149030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8878-DEF2-4785-ADDF-B39B3B279BE2}">
  <dimension ref="A1:H18"/>
  <sheetViews>
    <sheetView zoomScale="160" zoomScaleNormal="160" workbookViewId="0">
      <selection activeCell="D6" sqref="D6"/>
    </sheetView>
  </sheetViews>
  <sheetFormatPr defaultRowHeight="14.4" x14ac:dyDescent="0.3"/>
  <cols>
    <col min="1" max="1" width="6.5546875" bestFit="1" customWidth="1"/>
    <col min="2" max="2" width="19" bestFit="1" customWidth="1"/>
    <col min="3" max="3" width="11.5546875" customWidth="1"/>
    <col min="4" max="4" width="12" customWidth="1"/>
    <col min="6" max="6" width="11.88671875" customWidth="1"/>
    <col min="7" max="7" width="9.6640625" customWidth="1"/>
  </cols>
  <sheetData>
    <row r="1" spans="1:8" x14ac:dyDescent="0.3">
      <c r="A1" s="1" t="s">
        <v>0</v>
      </c>
      <c r="B1" s="1" t="s">
        <v>34</v>
      </c>
      <c r="C1" s="1" t="s">
        <v>35</v>
      </c>
      <c r="D1" s="1" t="s">
        <v>36</v>
      </c>
      <c r="G1" s="1" t="s">
        <v>35</v>
      </c>
      <c r="H1" s="1" t="s">
        <v>36</v>
      </c>
    </row>
    <row r="2" spans="1:8" x14ac:dyDescent="0.3">
      <c r="A2" s="2">
        <v>1001</v>
      </c>
      <c r="B2" s="6" t="s">
        <v>21</v>
      </c>
      <c r="C2" s="2">
        <v>77</v>
      </c>
      <c r="D2" s="9"/>
      <c r="G2" s="6">
        <v>10</v>
      </c>
      <c r="H2" s="7">
        <v>0.02</v>
      </c>
    </row>
    <row r="3" spans="1:8" x14ac:dyDescent="0.3">
      <c r="A3" s="2">
        <v>1002</v>
      </c>
      <c r="B3" s="6" t="s">
        <v>30</v>
      </c>
      <c r="C3" s="2">
        <v>613</v>
      </c>
      <c r="D3" s="9"/>
      <c r="G3" s="6">
        <v>50</v>
      </c>
      <c r="H3" s="7">
        <v>0.05</v>
      </c>
    </row>
    <row r="4" spans="1:8" x14ac:dyDescent="0.3">
      <c r="A4" s="2">
        <v>1003</v>
      </c>
      <c r="B4" s="6" t="s">
        <v>23</v>
      </c>
      <c r="C4" s="2">
        <v>567</v>
      </c>
      <c r="D4" s="9"/>
      <c r="G4" s="6">
        <v>100</v>
      </c>
      <c r="H4" s="7">
        <v>0.1</v>
      </c>
    </row>
    <row r="5" spans="1:8" x14ac:dyDescent="0.3">
      <c r="A5" s="2">
        <v>1004</v>
      </c>
      <c r="B5" s="6" t="s">
        <v>23</v>
      </c>
      <c r="C5" s="2">
        <v>192</v>
      </c>
      <c r="D5" s="9"/>
      <c r="G5" s="6">
        <v>250</v>
      </c>
      <c r="H5" s="7">
        <v>0.2</v>
      </c>
    </row>
    <row r="6" spans="1:8" x14ac:dyDescent="0.3">
      <c r="A6" s="2">
        <v>1005</v>
      </c>
      <c r="B6" s="6" t="s">
        <v>24</v>
      </c>
      <c r="C6" s="2">
        <v>350</v>
      </c>
      <c r="D6" s="9"/>
      <c r="G6" s="6">
        <v>500</v>
      </c>
      <c r="H6" s="7">
        <v>0.3</v>
      </c>
    </row>
    <row r="7" spans="1:8" x14ac:dyDescent="0.3">
      <c r="A7" s="2">
        <v>1006</v>
      </c>
      <c r="B7" s="6" t="s">
        <v>18</v>
      </c>
      <c r="C7" s="2">
        <v>34</v>
      </c>
      <c r="D7" s="9"/>
      <c r="G7" s="6">
        <v>1000</v>
      </c>
      <c r="H7" s="7">
        <v>0.4</v>
      </c>
    </row>
    <row r="8" spans="1:8" x14ac:dyDescent="0.3">
      <c r="A8" s="2">
        <v>1007</v>
      </c>
      <c r="B8" s="6" t="s">
        <v>18</v>
      </c>
      <c r="C8" s="2">
        <v>106</v>
      </c>
      <c r="D8" s="9"/>
    </row>
    <row r="9" spans="1:8" x14ac:dyDescent="0.3">
      <c r="A9" s="2">
        <v>1008</v>
      </c>
      <c r="B9" s="6" t="s">
        <v>27</v>
      </c>
      <c r="C9" s="2">
        <v>808</v>
      </c>
      <c r="D9" s="9"/>
      <c r="H9" s="8"/>
    </row>
    <row r="10" spans="1:8" x14ac:dyDescent="0.3">
      <c r="A10" s="2">
        <v>1009</v>
      </c>
      <c r="B10" s="6" t="s">
        <v>26</v>
      </c>
      <c r="C10" s="2">
        <v>652</v>
      </c>
      <c r="D10" s="9"/>
    </row>
    <row r="11" spans="1:8" x14ac:dyDescent="0.3">
      <c r="A11" s="2">
        <v>1010</v>
      </c>
      <c r="B11" s="6" t="s">
        <v>30</v>
      </c>
      <c r="C11" s="2">
        <v>254</v>
      </c>
      <c r="D11" s="9"/>
    </row>
    <row r="12" spans="1:8" x14ac:dyDescent="0.3">
      <c r="A12" s="2">
        <v>1011</v>
      </c>
      <c r="B12" s="6" t="s">
        <v>29</v>
      </c>
      <c r="C12" s="2">
        <v>1067</v>
      </c>
      <c r="D12" s="9"/>
    </row>
    <row r="13" spans="1:8" x14ac:dyDescent="0.3">
      <c r="A13" s="2">
        <v>1012</v>
      </c>
      <c r="B13" s="6" t="s">
        <v>17</v>
      </c>
      <c r="C13" s="2">
        <v>1226</v>
      </c>
      <c r="D13" s="9"/>
    </row>
    <row r="14" spans="1:8" x14ac:dyDescent="0.3">
      <c r="A14" s="2">
        <v>1013</v>
      </c>
      <c r="B14" s="6" t="s">
        <v>32</v>
      </c>
      <c r="C14" s="2">
        <v>1010</v>
      </c>
      <c r="D14" s="9"/>
    </row>
    <row r="15" spans="1:8" x14ac:dyDescent="0.3">
      <c r="A15" s="2">
        <v>1014</v>
      </c>
      <c r="B15" s="6" t="s">
        <v>25</v>
      </c>
      <c r="C15" s="2">
        <v>1348</v>
      </c>
      <c r="D15" s="9"/>
    </row>
    <row r="16" spans="1:8" x14ac:dyDescent="0.3">
      <c r="A16" s="2">
        <v>1015</v>
      </c>
      <c r="B16" s="6" t="s">
        <v>27</v>
      </c>
      <c r="C16" s="2">
        <v>883</v>
      </c>
      <c r="D16" s="9"/>
    </row>
    <row r="17" spans="1:4" x14ac:dyDescent="0.3">
      <c r="A17" s="2">
        <v>1016</v>
      </c>
      <c r="B17" s="6" t="s">
        <v>33</v>
      </c>
      <c r="C17" s="2">
        <v>376</v>
      </c>
      <c r="D17" s="9"/>
    </row>
    <row r="18" spans="1:4" x14ac:dyDescent="0.3">
      <c r="A18" s="2">
        <v>1017</v>
      </c>
      <c r="B18" s="6" t="s">
        <v>25</v>
      </c>
      <c r="C18" s="2">
        <v>885</v>
      </c>
      <c r="D18" s="9"/>
    </row>
  </sheetData>
  <sortState xmlns:xlrd2="http://schemas.microsoft.com/office/spreadsheetml/2017/richdata2" ref="G2:H7">
    <sortCondition ref="G2:G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5E47-C0FF-4F9D-9D24-22C1765F7A2E}">
  <dimension ref="A1:J18"/>
  <sheetViews>
    <sheetView zoomScale="145" zoomScaleNormal="145" workbookViewId="0">
      <selection activeCell="B15" sqref="B15:B18"/>
    </sheetView>
  </sheetViews>
  <sheetFormatPr defaultRowHeight="14.4" x14ac:dyDescent="0.3"/>
  <cols>
    <col min="1" max="1" width="11.5546875" customWidth="1"/>
    <col min="2" max="2" width="19.21875" bestFit="1" customWidth="1"/>
    <col min="3" max="3" width="6.5546875" customWidth="1"/>
    <col min="4" max="4" width="7.21875" bestFit="1" customWidth="1"/>
    <col min="5" max="5" width="16.109375" bestFit="1" customWidth="1"/>
    <col min="6" max="6" width="10.6640625" customWidth="1"/>
    <col min="7" max="7" width="5.33203125" customWidth="1"/>
    <col min="8" max="8" width="4.88671875" customWidth="1"/>
    <col min="9" max="9" width="11.5546875" customWidth="1"/>
    <col min="10" max="10" width="27.88671875" customWidth="1"/>
  </cols>
  <sheetData>
    <row r="1" spans="1:10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0</v>
      </c>
      <c r="J1" s="10">
        <v>1025</v>
      </c>
    </row>
    <row r="2" spans="1:10" s="3" customFormat="1" ht="20.399999999999999" customHeight="1" x14ac:dyDescent="0.3">
      <c r="A2" s="2">
        <v>1001</v>
      </c>
      <c r="B2" s="2" t="s">
        <v>17</v>
      </c>
      <c r="C2" s="2">
        <v>37</v>
      </c>
      <c r="D2" s="2" t="s">
        <v>6</v>
      </c>
      <c r="E2" s="2" t="s">
        <v>7</v>
      </c>
      <c r="F2" s="2">
        <v>149030</v>
      </c>
      <c r="I2" s="1" t="s">
        <v>1</v>
      </c>
      <c r="J2" s="11" t="str">
        <f>IFERROR(VLOOKUP($J$1,A:F,ROW(),0),"")</f>
        <v/>
      </c>
    </row>
    <row r="3" spans="1:10" s="3" customFormat="1" ht="20.399999999999999" customHeight="1" x14ac:dyDescent="0.3">
      <c r="A3" s="2">
        <v>1002</v>
      </c>
      <c r="B3" s="2" t="s">
        <v>18</v>
      </c>
      <c r="C3" s="2">
        <v>46</v>
      </c>
      <c r="D3" s="2" t="s">
        <v>8</v>
      </c>
      <c r="E3" s="2" t="s">
        <v>9</v>
      </c>
      <c r="F3" s="2">
        <v>182507</v>
      </c>
      <c r="I3" s="1" t="s">
        <v>2</v>
      </c>
      <c r="J3" s="11" t="str">
        <f t="shared" ref="J3:J6" si="0">IFERROR(VLOOKUP($J$1,A:F,ROW(),0),"")</f>
        <v/>
      </c>
    </row>
    <row r="4" spans="1:10" s="3" customFormat="1" ht="20.399999999999999" customHeight="1" x14ac:dyDescent="0.3">
      <c r="A4" s="2">
        <v>1003</v>
      </c>
      <c r="B4" s="2" t="s">
        <v>19</v>
      </c>
      <c r="C4" s="2">
        <v>45</v>
      </c>
      <c r="D4" s="2" t="s">
        <v>8</v>
      </c>
      <c r="E4" s="2" t="s">
        <v>10</v>
      </c>
      <c r="F4" s="2">
        <v>100741</v>
      </c>
      <c r="I4" s="1" t="s">
        <v>3</v>
      </c>
      <c r="J4" s="11" t="str">
        <f t="shared" si="0"/>
        <v/>
      </c>
    </row>
    <row r="5" spans="1:10" s="3" customFormat="1" ht="20.399999999999999" customHeight="1" x14ac:dyDescent="0.3">
      <c r="A5" s="2">
        <v>1004</v>
      </c>
      <c r="B5" s="2" t="s">
        <v>20</v>
      </c>
      <c r="C5" s="2">
        <v>59</v>
      </c>
      <c r="D5" s="2" t="s">
        <v>6</v>
      </c>
      <c r="E5" s="2" t="s">
        <v>7</v>
      </c>
      <c r="F5" s="2">
        <v>84784</v>
      </c>
      <c r="I5" s="1" t="s">
        <v>4</v>
      </c>
      <c r="J5" s="11" t="str">
        <f t="shared" si="0"/>
        <v/>
      </c>
    </row>
    <row r="6" spans="1:10" s="3" customFormat="1" ht="20.399999999999999" customHeight="1" x14ac:dyDescent="0.3">
      <c r="A6" s="2">
        <v>1005</v>
      </c>
      <c r="B6" s="2" t="s">
        <v>21</v>
      </c>
      <c r="C6" s="2">
        <v>59</v>
      </c>
      <c r="D6" s="2" t="s">
        <v>6</v>
      </c>
      <c r="E6" s="2" t="s">
        <v>11</v>
      </c>
      <c r="F6" s="2">
        <v>184551</v>
      </c>
      <c r="I6" s="1" t="s">
        <v>5</v>
      </c>
      <c r="J6" s="11" t="str">
        <f t="shared" si="0"/>
        <v/>
      </c>
    </row>
    <row r="7" spans="1:10" s="3" customFormat="1" ht="20.399999999999999" customHeight="1" x14ac:dyDescent="0.3">
      <c r="A7" s="2">
        <v>1006</v>
      </c>
      <c r="B7" s="2" t="s">
        <v>22</v>
      </c>
      <c r="C7" s="2">
        <v>48</v>
      </c>
      <c r="D7" s="2" t="s">
        <v>6</v>
      </c>
      <c r="E7" s="2" t="s">
        <v>12</v>
      </c>
      <c r="F7" s="2">
        <v>127313</v>
      </c>
    </row>
    <row r="8" spans="1:10" s="3" customFormat="1" ht="20.399999999999999" customHeight="1" x14ac:dyDescent="0.3">
      <c r="A8" s="2">
        <v>1007</v>
      </c>
      <c r="B8" s="2" t="s">
        <v>23</v>
      </c>
      <c r="C8" s="2">
        <v>53</v>
      </c>
      <c r="D8" s="2" t="s">
        <v>8</v>
      </c>
      <c r="E8" s="2" t="s">
        <v>10</v>
      </c>
      <c r="F8" s="2">
        <v>31809</v>
      </c>
    </row>
    <row r="9" spans="1:10" s="3" customFormat="1" ht="20.399999999999999" customHeight="1" x14ac:dyDescent="0.3">
      <c r="A9" s="2">
        <v>1008</v>
      </c>
      <c r="B9" s="2" t="s">
        <v>24</v>
      </c>
      <c r="C9" s="2">
        <v>59</v>
      </c>
      <c r="D9" s="2" t="s">
        <v>8</v>
      </c>
      <c r="E9" s="2" t="s">
        <v>13</v>
      </c>
      <c r="F9" s="2">
        <v>39769</v>
      </c>
    </row>
    <row r="10" spans="1:10" s="3" customFormat="1" ht="20.399999999999999" customHeight="1" x14ac:dyDescent="0.3">
      <c r="A10" s="2">
        <v>1009</v>
      </c>
      <c r="B10" s="2" t="s">
        <v>25</v>
      </c>
      <c r="C10" s="2">
        <v>26</v>
      </c>
      <c r="D10" s="2" t="s">
        <v>8</v>
      </c>
      <c r="E10" s="2" t="s">
        <v>9</v>
      </c>
      <c r="F10" s="2">
        <v>75792</v>
      </c>
      <c r="I10"/>
      <c r="J10"/>
    </row>
    <row r="11" spans="1:10" s="3" customFormat="1" ht="20.399999999999999" customHeight="1" x14ac:dyDescent="0.3">
      <c r="A11" s="2">
        <v>1010</v>
      </c>
      <c r="B11" s="2" t="s">
        <v>26</v>
      </c>
      <c r="C11" s="2">
        <v>58</v>
      </c>
      <c r="D11" s="2" t="s">
        <v>6</v>
      </c>
      <c r="E11" s="2" t="s">
        <v>7</v>
      </c>
      <c r="F11" s="2">
        <v>148988</v>
      </c>
      <c r="I11"/>
      <c r="J11"/>
    </row>
    <row r="12" spans="1:10" s="3" customFormat="1" ht="20.399999999999999" customHeight="1" x14ac:dyDescent="0.3">
      <c r="A12" s="2">
        <v>1011</v>
      </c>
      <c r="B12" s="2" t="s">
        <v>27</v>
      </c>
      <c r="C12" s="2">
        <v>44</v>
      </c>
      <c r="D12" s="2" t="s">
        <v>8</v>
      </c>
      <c r="E12" s="2" t="s">
        <v>7</v>
      </c>
      <c r="F12" s="2">
        <v>98803</v>
      </c>
      <c r="I12"/>
      <c r="J12"/>
    </row>
    <row r="13" spans="1:10" s="3" customFormat="1" ht="20.399999999999999" customHeight="1" x14ac:dyDescent="0.3">
      <c r="A13" s="2">
        <v>1012</v>
      </c>
      <c r="B13" s="2" t="s">
        <v>28</v>
      </c>
      <c r="C13" s="2">
        <v>39</v>
      </c>
      <c r="D13" s="2" t="s">
        <v>8</v>
      </c>
      <c r="E13" s="2" t="s">
        <v>11</v>
      </c>
      <c r="F13" s="2">
        <v>172266</v>
      </c>
      <c r="I13"/>
      <c r="J13"/>
    </row>
    <row r="14" spans="1:10" s="3" customFormat="1" ht="20.399999999999999" customHeight="1" x14ac:dyDescent="0.3">
      <c r="A14" s="2">
        <v>1013</v>
      </c>
      <c r="B14" s="2" t="s">
        <v>29</v>
      </c>
      <c r="C14" s="2">
        <v>54</v>
      </c>
      <c r="D14" s="2" t="s">
        <v>6</v>
      </c>
      <c r="E14" s="2" t="s">
        <v>14</v>
      </c>
      <c r="F14" s="2">
        <v>136087</v>
      </c>
      <c r="I14"/>
      <c r="J14"/>
    </row>
    <row r="15" spans="1:10" s="3" customFormat="1" ht="20.399999999999999" customHeight="1" x14ac:dyDescent="0.3">
      <c r="A15" s="2">
        <v>1014</v>
      </c>
      <c r="B15" s="2" t="s">
        <v>30</v>
      </c>
      <c r="C15" s="2">
        <v>34</v>
      </c>
      <c r="D15" s="2" t="s">
        <v>8</v>
      </c>
      <c r="E15" s="2" t="s">
        <v>9</v>
      </c>
      <c r="F15" s="2">
        <v>30479</v>
      </c>
      <c r="I15"/>
      <c r="J15"/>
    </row>
    <row r="16" spans="1:10" s="3" customFormat="1" ht="20.399999999999999" customHeight="1" x14ac:dyDescent="0.3">
      <c r="A16" s="2">
        <v>1015</v>
      </c>
      <c r="B16" s="2" t="s">
        <v>31</v>
      </c>
      <c r="C16" s="2">
        <v>47</v>
      </c>
      <c r="D16" s="2" t="s">
        <v>8</v>
      </c>
      <c r="E16" s="2" t="s">
        <v>7</v>
      </c>
      <c r="F16" s="2">
        <v>150145</v>
      </c>
      <c r="I16"/>
      <c r="J16"/>
    </row>
    <row r="17" spans="1:10" s="3" customFormat="1" ht="20.399999999999999" customHeight="1" x14ac:dyDescent="0.3">
      <c r="A17" s="2">
        <v>1016</v>
      </c>
      <c r="B17" s="2" t="s">
        <v>32</v>
      </c>
      <c r="C17" s="2">
        <v>35</v>
      </c>
      <c r="D17" s="2" t="s">
        <v>8</v>
      </c>
      <c r="E17" s="2" t="s">
        <v>15</v>
      </c>
      <c r="F17" s="2">
        <v>158214</v>
      </c>
      <c r="I17"/>
      <c r="J17"/>
    </row>
    <row r="18" spans="1:10" s="3" customFormat="1" ht="20.399999999999999" customHeight="1" x14ac:dyDescent="0.3">
      <c r="A18" s="2">
        <v>1017</v>
      </c>
      <c r="B18" s="2" t="s">
        <v>33</v>
      </c>
      <c r="C18" s="2">
        <v>27</v>
      </c>
      <c r="D18" s="2" t="s">
        <v>8</v>
      </c>
      <c r="E18" s="2" t="s">
        <v>16</v>
      </c>
      <c r="F18" s="2">
        <v>121734</v>
      </c>
      <c r="I18"/>
      <c r="J18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CD99-7D13-485B-BDC3-645CC04660CB}">
  <dimension ref="A1:I11"/>
  <sheetViews>
    <sheetView zoomScale="145" zoomScaleNormal="145" workbookViewId="0">
      <selection activeCell="E13" sqref="E13"/>
    </sheetView>
  </sheetViews>
  <sheetFormatPr defaultRowHeight="14.4" x14ac:dyDescent="0.3"/>
  <cols>
    <col min="1" max="1" width="11.5546875" customWidth="1"/>
    <col min="2" max="2" width="19.21875" bestFit="1" customWidth="1"/>
    <col min="3" max="3" width="6.44140625" customWidth="1"/>
    <col min="4" max="4" width="14" customWidth="1"/>
    <col min="5" max="5" width="15.88671875" customWidth="1"/>
    <col min="6" max="6" width="7.21875" customWidth="1"/>
    <col min="7" max="7" width="12.6640625" bestFit="1" customWidth="1"/>
    <col min="8" max="8" width="16.109375" bestFit="1" customWidth="1"/>
    <col min="9" max="9" width="11.88671875" customWidth="1"/>
    <col min="10" max="10" width="11.5546875" customWidth="1"/>
    <col min="11" max="11" width="27.88671875" customWidth="1"/>
  </cols>
  <sheetData>
    <row r="1" spans="1:9" x14ac:dyDescent="0.3">
      <c r="A1" s="12" t="s">
        <v>40</v>
      </c>
      <c r="B1" s="12" t="s">
        <v>38</v>
      </c>
      <c r="G1" s="12" t="s">
        <v>38</v>
      </c>
      <c r="H1" s="12" t="s">
        <v>37</v>
      </c>
      <c r="I1" s="12" t="s">
        <v>39</v>
      </c>
    </row>
    <row r="2" spans="1:9" x14ac:dyDescent="0.3">
      <c r="A2" s="6">
        <v>1</v>
      </c>
      <c r="B2" s="6" t="s">
        <v>50</v>
      </c>
      <c r="G2" s="6" t="s">
        <v>50</v>
      </c>
      <c r="H2" s="6" t="s">
        <v>46</v>
      </c>
      <c r="I2" s="6" t="s">
        <v>41</v>
      </c>
    </row>
    <row r="3" spans="1:9" x14ac:dyDescent="0.3">
      <c r="A3" s="6">
        <v>2</v>
      </c>
      <c r="B3" s="6" t="s">
        <v>54</v>
      </c>
      <c r="G3" s="6" t="s">
        <v>54</v>
      </c>
      <c r="H3" s="6" t="s">
        <v>60</v>
      </c>
      <c r="I3" s="6" t="s">
        <v>42</v>
      </c>
    </row>
    <row r="4" spans="1:9" x14ac:dyDescent="0.3">
      <c r="A4" s="6">
        <v>3</v>
      </c>
      <c r="B4" s="6" t="s">
        <v>55</v>
      </c>
      <c r="D4" s="12" t="s">
        <v>40</v>
      </c>
      <c r="E4">
        <v>1</v>
      </c>
      <c r="G4" s="6" t="s">
        <v>55</v>
      </c>
      <c r="H4" s="6" t="s">
        <v>61</v>
      </c>
      <c r="I4" s="6" t="s">
        <v>41</v>
      </c>
    </row>
    <row r="5" spans="1:9" x14ac:dyDescent="0.3">
      <c r="A5" s="6">
        <v>4</v>
      </c>
      <c r="B5" s="6" t="s">
        <v>53</v>
      </c>
      <c r="D5" s="12" t="s">
        <v>37</v>
      </c>
      <c r="E5" t="str">
        <f>VLOOKUP(VLOOKUP($E$4,Roll_Number,2,0),Exam_Seat_No,ROW()-3,0)</f>
        <v>Arpit Shah</v>
      </c>
      <c r="G5" s="6" t="s">
        <v>53</v>
      </c>
      <c r="H5" s="6" t="s">
        <v>62</v>
      </c>
      <c r="I5" s="6" t="s">
        <v>43</v>
      </c>
    </row>
    <row r="6" spans="1:9" x14ac:dyDescent="0.3">
      <c r="A6" s="6">
        <v>5</v>
      </c>
      <c r="B6" s="6" t="s">
        <v>51</v>
      </c>
      <c r="D6" s="12" t="s">
        <v>39</v>
      </c>
      <c r="E6" t="str">
        <f>VLOOKUP(VLOOKUP($E$4,Roll_Number,2,0),Exam_Seat_No,ROW()-3,0)</f>
        <v>8A</v>
      </c>
      <c r="G6" s="6" t="s">
        <v>51</v>
      </c>
      <c r="H6" s="6" t="s">
        <v>47</v>
      </c>
      <c r="I6" s="6" t="s">
        <v>44</v>
      </c>
    </row>
    <row r="7" spans="1:9" x14ac:dyDescent="0.3">
      <c r="A7" s="6">
        <v>6</v>
      </c>
      <c r="B7" s="6" t="s">
        <v>56</v>
      </c>
      <c r="G7" s="6" t="s">
        <v>56</v>
      </c>
      <c r="H7" s="6" t="s">
        <v>63</v>
      </c>
      <c r="I7" s="6" t="s">
        <v>45</v>
      </c>
    </row>
    <row r="8" spans="1:9" x14ac:dyDescent="0.3">
      <c r="A8" s="6">
        <v>7</v>
      </c>
      <c r="B8" s="6" t="s">
        <v>57</v>
      </c>
      <c r="G8" s="6" t="s">
        <v>57</v>
      </c>
      <c r="H8" s="6" t="s">
        <v>64</v>
      </c>
      <c r="I8" s="6" t="s">
        <v>42</v>
      </c>
    </row>
    <row r="9" spans="1:9" x14ac:dyDescent="0.3">
      <c r="A9" s="6">
        <v>8</v>
      </c>
      <c r="B9" s="6" t="s">
        <v>52</v>
      </c>
      <c r="D9" s="13" t="s">
        <v>38</v>
      </c>
      <c r="G9" s="6" t="s">
        <v>52</v>
      </c>
      <c r="H9" s="6" t="s">
        <v>65</v>
      </c>
      <c r="I9" s="6" t="s">
        <v>44</v>
      </c>
    </row>
    <row r="10" spans="1:9" x14ac:dyDescent="0.3">
      <c r="A10" s="6">
        <v>9</v>
      </c>
      <c r="B10" s="6" t="s">
        <v>58</v>
      </c>
      <c r="G10" s="6" t="s">
        <v>58</v>
      </c>
      <c r="H10" s="2" t="s">
        <v>48</v>
      </c>
      <c r="I10" s="6" t="s">
        <v>41</v>
      </c>
    </row>
    <row r="11" spans="1:9" x14ac:dyDescent="0.3">
      <c r="A11" s="6">
        <v>10</v>
      </c>
      <c r="B11" s="6" t="s">
        <v>59</v>
      </c>
      <c r="G11" s="6" t="s">
        <v>59</v>
      </c>
      <c r="H11" s="2" t="s">
        <v>49</v>
      </c>
      <c r="I11" s="6" t="s">
        <v>42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6A40-DE7F-4339-9159-CE16BF4011BC}">
  <dimension ref="A1:P46"/>
  <sheetViews>
    <sheetView tabSelected="1" topLeftCell="A10" zoomScale="82" zoomScaleNormal="131" workbookViewId="0">
      <selection activeCell="H27" sqref="H27"/>
    </sheetView>
  </sheetViews>
  <sheetFormatPr defaultRowHeight="14.4" x14ac:dyDescent="0.3"/>
  <cols>
    <col min="1" max="1" width="19.5546875" bestFit="1" customWidth="1"/>
    <col min="2" max="2" width="7.77734375" customWidth="1"/>
    <col min="3" max="3" width="9.77734375" customWidth="1"/>
    <col min="4" max="4" width="16.21875" bestFit="1" customWidth="1"/>
    <col min="5" max="5" width="11" customWidth="1"/>
    <col min="6" max="6" width="9.6640625" customWidth="1"/>
    <col min="9" max="9" width="12.21875" customWidth="1"/>
    <col min="10" max="10" width="18.109375" customWidth="1"/>
    <col min="11" max="11" width="19" bestFit="1" customWidth="1"/>
    <col min="12" max="13" width="19.21875" bestFit="1" customWidth="1"/>
    <col min="16" max="16" width="16.109375" bestFit="1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I1" s="1" t="s">
        <v>0</v>
      </c>
      <c r="J1" s="6">
        <v>1002</v>
      </c>
    </row>
    <row r="2" spans="1:16" x14ac:dyDescent="0.3">
      <c r="A2" s="2" t="s">
        <v>17</v>
      </c>
      <c r="B2" s="2">
        <v>37</v>
      </c>
      <c r="C2" s="2" t="s">
        <v>6</v>
      </c>
      <c r="D2" s="2" t="s">
        <v>7</v>
      </c>
      <c r="E2" s="2">
        <v>149030</v>
      </c>
      <c r="F2" s="2">
        <v>1001</v>
      </c>
      <c r="G2" s="2"/>
      <c r="I2" s="1" t="s">
        <v>1</v>
      </c>
      <c r="J2" s="14" t="str">
        <f>VLOOKUP(J$1,CHOOSE({1,2,3,4,5,6},$F$1:$F$18,$A$1:$A$18,$B$1:$B$18,$C$1:$C$18,$D$1:$D$18,$E$1:$E$18),ROW(),0)</f>
        <v>Aslam Raza</v>
      </c>
    </row>
    <row r="3" spans="1:16" x14ac:dyDescent="0.3">
      <c r="A3" s="2" t="s">
        <v>18</v>
      </c>
      <c r="B3" s="2">
        <v>46</v>
      </c>
      <c r="C3" s="2" t="s">
        <v>8</v>
      </c>
      <c r="D3" s="2" t="s">
        <v>9</v>
      </c>
      <c r="E3" s="2">
        <v>182507</v>
      </c>
      <c r="F3" s="2">
        <v>1002</v>
      </c>
      <c r="G3" s="2"/>
      <c r="I3" s="1" t="s">
        <v>2</v>
      </c>
      <c r="J3" s="14">
        <f>VLOOKUP(J$1,CHOOSE({1,2,3,4,5,6},$F$1:$F$18,$A$1:$A$18,$B$1:$B$18,$C$1:$C$18,$D$1:$D$18,$E$1:$E$18),ROW(),0)</f>
        <v>46</v>
      </c>
    </row>
    <row r="4" spans="1:16" x14ac:dyDescent="0.3">
      <c r="A4" s="2" t="s">
        <v>19</v>
      </c>
      <c r="B4" s="2">
        <v>45</v>
      </c>
      <c r="C4" s="2" t="s">
        <v>8</v>
      </c>
      <c r="D4" s="2" t="s">
        <v>10</v>
      </c>
      <c r="E4" s="2">
        <v>100741</v>
      </c>
      <c r="F4" s="2">
        <v>1003</v>
      </c>
      <c r="G4" s="2"/>
      <c r="I4" s="1" t="s">
        <v>3</v>
      </c>
      <c r="J4" s="14" t="str">
        <f>VLOOKUP(J$1,CHOOSE({1,2,3,4,5,6},$F$1:$F$18,$A$1:$A$18,$B$1:$B$18,$C$1:$C$18,$D$1:$D$18,$E$1:$E$18),ROW(),0)</f>
        <v>Female</v>
      </c>
    </row>
    <row r="5" spans="1:16" x14ac:dyDescent="0.3">
      <c r="A5" s="2" t="s">
        <v>20</v>
      </c>
      <c r="B5" s="2">
        <v>59</v>
      </c>
      <c r="C5" s="2" t="s">
        <v>6</v>
      </c>
      <c r="D5" s="2" t="s">
        <v>7</v>
      </c>
      <c r="E5" s="2">
        <v>84784</v>
      </c>
      <c r="F5" s="2">
        <v>1004</v>
      </c>
      <c r="G5" s="2"/>
      <c r="I5" s="1" t="s">
        <v>4</v>
      </c>
      <c r="J5" s="14" t="str">
        <f>VLOOKUP(J$1,CHOOSE({1,2,3,4,5,6},$F$1:$F$18,$A$1:$A$18,$B$1:$B$18,$C$1:$C$18,$D$1:$D$18,$E$1:$E$18),ROW(),0)</f>
        <v>Finance</v>
      </c>
    </row>
    <row r="6" spans="1:16" x14ac:dyDescent="0.3">
      <c r="A6" s="2" t="s">
        <v>21</v>
      </c>
      <c r="B6" s="2">
        <v>59</v>
      </c>
      <c r="C6" s="2" t="s">
        <v>6</v>
      </c>
      <c r="D6" s="2" t="s">
        <v>11</v>
      </c>
      <c r="E6" s="2">
        <v>184551</v>
      </c>
      <c r="F6" s="2">
        <v>1005</v>
      </c>
      <c r="G6" s="2"/>
      <c r="I6" s="1" t="s">
        <v>5</v>
      </c>
      <c r="J6" s="14">
        <f>VLOOKUP(J$1,CHOOSE({1,2,3,4,5,6},$F$1:$F$18,$A$1:$A$18,$B$1:$B$18,$C$1:$C$18,$D$1:$D$18,$E$1:$E$18),ROW(),0)</f>
        <v>182507</v>
      </c>
    </row>
    <row r="7" spans="1:16" x14ac:dyDescent="0.3">
      <c r="A7" s="2" t="s">
        <v>22</v>
      </c>
      <c r="B7" s="2">
        <v>48</v>
      </c>
      <c r="C7" s="2" t="s">
        <v>6</v>
      </c>
      <c r="D7" s="2" t="s">
        <v>12</v>
      </c>
      <c r="E7" s="2">
        <v>127313</v>
      </c>
      <c r="F7" s="2">
        <v>1006</v>
      </c>
      <c r="G7" s="2"/>
    </row>
    <row r="8" spans="1:16" x14ac:dyDescent="0.3">
      <c r="A8" s="2" t="s">
        <v>23</v>
      </c>
      <c r="B8" s="2">
        <v>53</v>
      </c>
      <c r="C8" s="2" t="s">
        <v>8</v>
      </c>
      <c r="D8" s="2" t="s">
        <v>10</v>
      </c>
      <c r="E8" s="2">
        <v>31809</v>
      </c>
      <c r="F8" s="2">
        <v>1007</v>
      </c>
      <c r="G8" s="2"/>
      <c r="K8" t="str" cm="1">
        <f t="array" ref="K8:P25">CHOOSE({1,2,3,4,5,6},F1:F18,A1:A18,B1:B18,C1:C18,D1:D18,E1:E18)</f>
        <v>EmpID</v>
      </c>
      <c r="L8" t="str">
        <v>Name</v>
      </c>
      <c r="M8" t="str">
        <v>Age</v>
      </c>
      <c r="N8" t="str">
        <v>Gender</v>
      </c>
      <c r="O8" t="str">
        <v>Position</v>
      </c>
      <c r="P8" t="str">
        <v>Salary</v>
      </c>
    </row>
    <row r="9" spans="1:16" x14ac:dyDescent="0.3">
      <c r="A9" s="2" t="s">
        <v>24</v>
      </c>
      <c r="B9" s="2">
        <v>59</v>
      </c>
      <c r="C9" s="2" t="s">
        <v>8</v>
      </c>
      <c r="D9" s="2" t="s">
        <v>13</v>
      </c>
      <c r="E9" s="2">
        <v>39769</v>
      </c>
      <c r="F9" s="2">
        <v>1008</v>
      </c>
      <c r="G9" s="2"/>
      <c r="K9">
        <v>1001</v>
      </c>
      <c r="L9" t="str">
        <v>Aniruddha Kale</v>
      </c>
      <c r="M9">
        <v>37</v>
      </c>
      <c r="N9" t="str">
        <v>Male</v>
      </c>
      <c r="O9" t="str">
        <v>Sales</v>
      </c>
      <c r="P9">
        <v>149030</v>
      </c>
    </row>
    <row r="10" spans="1:16" x14ac:dyDescent="0.3">
      <c r="A10" s="2" t="s">
        <v>25</v>
      </c>
      <c r="B10" s="2">
        <v>26</v>
      </c>
      <c r="C10" s="2" t="s">
        <v>8</v>
      </c>
      <c r="D10" s="2" t="s">
        <v>9</v>
      </c>
      <c r="E10" s="2">
        <v>75792</v>
      </c>
      <c r="F10" s="2">
        <v>1009</v>
      </c>
      <c r="G10" s="2"/>
      <c r="K10">
        <v>1002</v>
      </c>
      <c r="L10" t="str">
        <v>Aslam Raza</v>
      </c>
      <c r="M10">
        <v>46</v>
      </c>
      <c r="N10" t="str">
        <v>Female</v>
      </c>
      <c r="O10" t="str">
        <v>Finance</v>
      </c>
      <c r="P10">
        <v>182507</v>
      </c>
    </row>
    <row r="11" spans="1:16" x14ac:dyDescent="0.3">
      <c r="A11" s="2" t="s">
        <v>26</v>
      </c>
      <c r="B11" s="2">
        <v>58</v>
      </c>
      <c r="C11" s="2" t="s">
        <v>6</v>
      </c>
      <c r="D11" s="2" t="s">
        <v>7</v>
      </c>
      <c r="E11" s="2">
        <v>148988</v>
      </c>
      <c r="F11" s="2">
        <v>1010</v>
      </c>
      <c r="G11" s="2"/>
      <c r="K11">
        <v>1003</v>
      </c>
      <c r="L11" t="str">
        <v>Roshan Zameer</v>
      </c>
      <c r="M11">
        <v>45</v>
      </c>
      <c r="N11" t="str">
        <v>Female</v>
      </c>
      <c r="O11" t="str">
        <v>Operations</v>
      </c>
      <c r="P11">
        <v>100741</v>
      </c>
    </row>
    <row r="12" spans="1:16" x14ac:dyDescent="0.3">
      <c r="A12" s="2" t="s">
        <v>27</v>
      </c>
      <c r="B12" s="2">
        <v>44</v>
      </c>
      <c r="C12" s="2" t="s">
        <v>8</v>
      </c>
      <c r="D12" s="2" t="s">
        <v>7</v>
      </c>
      <c r="E12" s="2">
        <v>98803</v>
      </c>
      <c r="F12" s="2">
        <v>1011</v>
      </c>
      <c r="G12" s="2"/>
      <c r="K12">
        <v>1004</v>
      </c>
      <c r="L12" t="str">
        <v>Rakesh Sharma</v>
      </c>
      <c r="M12">
        <v>59</v>
      </c>
      <c r="N12" t="str">
        <v>Male</v>
      </c>
      <c r="O12" t="str">
        <v>Sales</v>
      </c>
      <c r="P12">
        <v>84784</v>
      </c>
    </row>
    <row r="13" spans="1:16" x14ac:dyDescent="0.3">
      <c r="A13" s="2" t="s">
        <v>28</v>
      </c>
      <c r="B13" s="2">
        <v>39</v>
      </c>
      <c r="C13" s="2" t="s">
        <v>8</v>
      </c>
      <c r="D13" s="2" t="s">
        <v>11</v>
      </c>
      <c r="E13" s="2">
        <v>172266</v>
      </c>
      <c r="F13" s="2">
        <v>1012</v>
      </c>
      <c r="G13" s="2"/>
      <c r="K13">
        <v>1005</v>
      </c>
      <c r="L13" t="str">
        <v>Shivanand Sahani</v>
      </c>
      <c r="M13">
        <v>59</v>
      </c>
      <c r="N13" t="str">
        <v>Male</v>
      </c>
      <c r="O13" t="str">
        <v>Product Manager</v>
      </c>
      <c r="P13">
        <v>184551</v>
      </c>
    </row>
    <row r="14" spans="1:16" x14ac:dyDescent="0.3">
      <c r="A14" s="2" t="s">
        <v>29</v>
      </c>
      <c r="B14" s="2">
        <v>54</v>
      </c>
      <c r="C14" s="2" t="s">
        <v>6</v>
      </c>
      <c r="D14" s="2" t="s">
        <v>14</v>
      </c>
      <c r="E14" s="2">
        <v>136087</v>
      </c>
      <c r="F14" s="2">
        <v>1013</v>
      </c>
      <c r="G14" s="2"/>
      <c r="K14">
        <v>1006</v>
      </c>
      <c r="L14" t="str">
        <v>Kuntal Patra</v>
      </c>
      <c r="M14">
        <v>48</v>
      </c>
      <c r="N14" t="str">
        <v>Male</v>
      </c>
      <c r="O14" t="str">
        <v>Data Scientist</v>
      </c>
      <c r="P14">
        <v>127313</v>
      </c>
    </row>
    <row r="15" spans="1:16" x14ac:dyDescent="0.3">
      <c r="A15" s="2" t="s">
        <v>30</v>
      </c>
      <c r="B15" s="2">
        <v>34</v>
      </c>
      <c r="C15" s="2" t="s">
        <v>8</v>
      </c>
      <c r="D15" s="2" t="s">
        <v>9</v>
      </c>
      <c r="E15" s="2">
        <v>30479</v>
      </c>
      <c r="F15" s="2">
        <v>1014</v>
      </c>
      <c r="G15" s="2"/>
      <c r="K15">
        <v>1007</v>
      </c>
      <c r="L15" t="str">
        <v>Bijendra Singh</v>
      </c>
      <c r="M15">
        <v>53</v>
      </c>
      <c r="N15" t="str">
        <v>Female</v>
      </c>
      <c r="O15" t="str">
        <v>Operations</v>
      </c>
      <c r="P15">
        <v>31809</v>
      </c>
    </row>
    <row r="16" spans="1:16" x14ac:dyDescent="0.3">
      <c r="A16" s="2" t="s">
        <v>31</v>
      </c>
      <c r="B16" s="2">
        <v>47</v>
      </c>
      <c r="C16" s="2" t="s">
        <v>8</v>
      </c>
      <c r="D16" s="2" t="s">
        <v>7</v>
      </c>
      <c r="E16" s="2">
        <v>150145</v>
      </c>
      <c r="F16" s="2">
        <v>1015</v>
      </c>
      <c r="G16" s="2"/>
      <c r="K16">
        <v>1008</v>
      </c>
      <c r="L16" t="str">
        <v>Kranti Bheke</v>
      </c>
      <c r="M16">
        <v>59</v>
      </c>
      <c r="N16" t="str">
        <v>Female</v>
      </c>
      <c r="O16" t="str">
        <v>Marketing</v>
      </c>
      <c r="P16">
        <v>39769</v>
      </c>
    </row>
    <row r="17" spans="1:16" x14ac:dyDescent="0.3">
      <c r="A17" s="2" t="s">
        <v>32</v>
      </c>
      <c r="B17" s="2">
        <v>35</v>
      </c>
      <c r="C17" s="2" t="s">
        <v>8</v>
      </c>
      <c r="D17" s="2" t="s">
        <v>15</v>
      </c>
      <c r="E17" s="2">
        <v>158214</v>
      </c>
      <c r="F17" s="2">
        <v>1016</v>
      </c>
      <c r="G17" s="2"/>
      <c r="K17">
        <v>1009</v>
      </c>
      <c r="L17" t="str">
        <v>Jagdeep Paward</v>
      </c>
      <c r="M17">
        <v>26</v>
      </c>
      <c r="N17" t="str">
        <v>Female</v>
      </c>
      <c r="O17" t="str">
        <v>Finance</v>
      </c>
      <c r="P17">
        <v>75792</v>
      </c>
    </row>
    <row r="18" spans="1:16" x14ac:dyDescent="0.3">
      <c r="A18" s="2" t="s">
        <v>33</v>
      </c>
      <c r="B18" s="2">
        <v>27</v>
      </c>
      <c r="C18" s="2" t="s">
        <v>8</v>
      </c>
      <c r="D18" s="2" t="s">
        <v>16</v>
      </c>
      <c r="E18" s="2">
        <v>121734</v>
      </c>
      <c r="F18" s="2">
        <v>1017</v>
      </c>
      <c r="G18" s="2"/>
      <c r="K18">
        <v>1010</v>
      </c>
      <c r="L18" t="str">
        <v>Adhir Samal</v>
      </c>
      <c r="M18">
        <v>58</v>
      </c>
      <c r="N18" t="str">
        <v>Male</v>
      </c>
      <c r="O18" t="str">
        <v>Sales</v>
      </c>
      <c r="P18">
        <v>148988</v>
      </c>
    </row>
    <row r="19" spans="1:16" x14ac:dyDescent="0.3">
      <c r="K19">
        <v>1011</v>
      </c>
      <c r="L19" t="str">
        <v>Dannana Jhammi</v>
      </c>
      <c r="M19">
        <v>44</v>
      </c>
      <c r="N19" t="str">
        <v>Female</v>
      </c>
      <c r="O19" t="str">
        <v>Sales</v>
      </c>
      <c r="P19">
        <v>98803</v>
      </c>
    </row>
    <row r="20" spans="1:16" x14ac:dyDescent="0.3">
      <c r="K20">
        <v>1012</v>
      </c>
      <c r="L20" t="str">
        <v>Vipin Kumar</v>
      </c>
      <c r="M20">
        <v>39</v>
      </c>
      <c r="N20" t="str">
        <v>Female</v>
      </c>
      <c r="O20" t="str">
        <v>Product Manager</v>
      </c>
      <c r="P20">
        <v>172266</v>
      </c>
    </row>
    <row r="21" spans="1:16" x14ac:dyDescent="0.3">
      <c r="K21">
        <v>1013</v>
      </c>
      <c r="L21" t="str">
        <v>Ranjeet Kumar</v>
      </c>
      <c r="M21">
        <v>54</v>
      </c>
      <c r="N21" t="str">
        <v>Male</v>
      </c>
      <c r="O21" t="str">
        <v>HR</v>
      </c>
      <c r="P21">
        <v>136087</v>
      </c>
    </row>
    <row r="22" spans="1:16" x14ac:dyDescent="0.3">
      <c r="K22">
        <v>1014</v>
      </c>
      <c r="L22" t="str">
        <v>Sajal Singhal</v>
      </c>
      <c r="M22">
        <v>34</v>
      </c>
      <c r="N22" t="str">
        <v>Female</v>
      </c>
      <c r="O22" t="str">
        <v>Finance</v>
      </c>
      <c r="P22">
        <v>30479</v>
      </c>
    </row>
    <row r="23" spans="1:16" x14ac:dyDescent="0.3">
      <c r="K23">
        <v>1015</v>
      </c>
      <c r="L23" t="str">
        <v>Akhilesh Kumar</v>
      </c>
      <c r="M23">
        <v>47</v>
      </c>
      <c r="N23" t="str">
        <v>Female</v>
      </c>
      <c r="O23" t="str">
        <v>Sales</v>
      </c>
      <c r="P23">
        <v>150145</v>
      </c>
    </row>
    <row r="24" spans="1:16" x14ac:dyDescent="0.3">
      <c r="K24">
        <v>1016</v>
      </c>
      <c r="L24" t="str">
        <v>Suvankar Chakraborty</v>
      </c>
      <c r="M24">
        <v>35</v>
      </c>
      <c r="N24" t="str">
        <v>Female</v>
      </c>
      <c r="O24" t="str">
        <v>Software Engineer</v>
      </c>
      <c r="P24">
        <v>158214</v>
      </c>
    </row>
    <row r="25" spans="1:16" x14ac:dyDescent="0.3">
      <c r="K25">
        <v>1017</v>
      </c>
      <c r="L25" t="str">
        <v>Suvankar Adhikary</v>
      </c>
      <c r="M25">
        <v>27</v>
      </c>
      <c r="N25" t="str">
        <v>Female</v>
      </c>
      <c r="O25" t="str">
        <v>Support</v>
      </c>
      <c r="P25">
        <v>121734</v>
      </c>
    </row>
    <row r="27" spans="1:16" x14ac:dyDescent="0.3">
      <c r="A27" t="s">
        <v>0</v>
      </c>
      <c r="B27" t="s">
        <v>1</v>
      </c>
      <c r="C27" t="s">
        <v>4</v>
      </c>
      <c r="D27" t="s">
        <v>5</v>
      </c>
      <c r="E27" t="s">
        <v>2</v>
      </c>
      <c r="F27" t="s">
        <v>3</v>
      </c>
    </row>
    <row r="28" spans="1:16" x14ac:dyDescent="0.3">
      <c r="A28">
        <v>1001</v>
      </c>
      <c r="B28" t="str">
        <f>VLOOKUP($A28,_xlfn.ANCHORARRAY($K$29),COLUMN(),0)</f>
        <v>Aniruddha Kale</v>
      </c>
      <c r="C28" t="str">
        <f t="shared" ref="C28:F35" si="0">VLOOKUP($A28,_xlfn.ANCHORARRAY($K$29),COLUMN(),0)</f>
        <v>Sales</v>
      </c>
      <c r="D28">
        <f t="shared" si="0"/>
        <v>149030</v>
      </c>
      <c r="E28">
        <f t="shared" si="0"/>
        <v>37</v>
      </c>
      <c r="F28" t="str">
        <f t="shared" si="0"/>
        <v>Male</v>
      </c>
    </row>
    <row r="29" spans="1:16" x14ac:dyDescent="0.3">
      <c r="A29">
        <v>1002</v>
      </c>
      <c r="B29" t="str">
        <f>VLOOKUP($A29,_xlfn.ANCHORARRAY($K$29),COLUMN(),0)</f>
        <v>Aslam Raza</v>
      </c>
      <c r="C29" t="str">
        <f t="shared" si="0"/>
        <v>Finance</v>
      </c>
      <c r="D29">
        <f t="shared" si="0"/>
        <v>182507</v>
      </c>
      <c r="E29">
        <f t="shared" si="0"/>
        <v>46</v>
      </c>
      <c r="F29" t="str">
        <f t="shared" si="0"/>
        <v>Female</v>
      </c>
      <c r="K29" s="15" t="str" cm="1">
        <f t="array" ref="K29:P46">CHOOSE({1,2,3,4,5,6},F1:F18,A1:A18,D1:D18,E1:E18,B1:B18,C1:C18)</f>
        <v>EmpID</v>
      </c>
      <c r="L29" s="15" t="str">
        <v>Name</v>
      </c>
      <c r="M29" s="15" t="str">
        <v>Position</v>
      </c>
      <c r="N29" s="15" t="str">
        <v>Salary</v>
      </c>
      <c r="O29" s="15" t="str">
        <v>Age</v>
      </c>
      <c r="P29" s="15" t="str">
        <v>Gender</v>
      </c>
    </row>
    <row r="30" spans="1:16" x14ac:dyDescent="0.3">
      <c r="A30">
        <v>1003</v>
      </c>
      <c r="B30" t="str">
        <f>VLOOKUP($A30,_xlfn.ANCHORARRAY($K$29),COLUMN(),0)</f>
        <v>Roshan Zameer</v>
      </c>
      <c r="C30" t="str">
        <f>VLOOKUP($A30,_xlfn.ANCHORARRAY($K$29),COLUMN(),0)</f>
        <v>Operations</v>
      </c>
      <c r="D30">
        <f t="shared" si="0"/>
        <v>100741</v>
      </c>
      <c r="E30">
        <f t="shared" si="0"/>
        <v>45</v>
      </c>
      <c r="F30" t="str">
        <f t="shared" si="0"/>
        <v>Female</v>
      </c>
      <c r="K30">
        <v>1001</v>
      </c>
      <c r="L30" t="str">
        <v>Aniruddha Kale</v>
      </c>
      <c r="M30" t="str">
        <v>Sales</v>
      </c>
      <c r="N30">
        <v>149030</v>
      </c>
      <c r="O30">
        <v>37</v>
      </c>
      <c r="P30" t="str">
        <v>Male</v>
      </c>
    </row>
    <row r="31" spans="1:16" x14ac:dyDescent="0.3">
      <c r="A31">
        <v>1004</v>
      </c>
      <c r="B31" t="str">
        <f t="shared" ref="B31:C35" si="1">VLOOKUP($A31,_xlfn.ANCHORARRAY($K$29),COLUMN(),0)</f>
        <v>Rakesh Sharma</v>
      </c>
      <c r="C31" t="str">
        <f t="shared" si="1"/>
        <v>Sales</v>
      </c>
      <c r="D31">
        <f t="shared" si="0"/>
        <v>84784</v>
      </c>
      <c r="E31">
        <f t="shared" si="0"/>
        <v>59</v>
      </c>
      <c r="F31" t="str">
        <f t="shared" si="0"/>
        <v>Male</v>
      </c>
      <c r="K31">
        <v>1002</v>
      </c>
      <c r="L31" t="str">
        <v>Aslam Raza</v>
      </c>
      <c r="M31" t="str">
        <v>Finance</v>
      </c>
      <c r="N31">
        <v>182507</v>
      </c>
      <c r="O31">
        <v>46</v>
      </c>
      <c r="P31" t="str">
        <v>Female</v>
      </c>
    </row>
    <row r="32" spans="1:16" x14ac:dyDescent="0.3">
      <c r="A32">
        <v>1005</v>
      </c>
      <c r="B32" t="str">
        <f t="shared" si="1"/>
        <v>Shivanand Sahani</v>
      </c>
      <c r="C32" t="str">
        <f t="shared" si="1"/>
        <v>Product Manager</v>
      </c>
      <c r="D32">
        <f t="shared" si="0"/>
        <v>184551</v>
      </c>
      <c r="E32">
        <f t="shared" si="0"/>
        <v>59</v>
      </c>
      <c r="F32" t="str">
        <f t="shared" si="0"/>
        <v>Male</v>
      </c>
      <c r="K32">
        <v>1003</v>
      </c>
      <c r="L32" t="str">
        <v>Roshan Zameer</v>
      </c>
      <c r="M32" t="str">
        <v>Operations</v>
      </c>
      <c r="N32">
        <v>100741</v>
      </c>
      <c r="O32">
        <v>45</v>
      </c>
      <c r="P32" t="str">
        <v>Female</v>
      </c>
    </row>
    <row r="33" spans="1:16" x14ac:dyDescent="0.3">
      <c r="A33">
        <v>1006</v>
      </c>
      <c r="B33" t="str">
        <f t="shared" si="1"/>
        <v>Kuntal Patra</v>
      </c>
      <c r="C33" t="str">
        <f t="shared" si="1"/>
        <v>Data Scientist</v>
      </c>
      <c r="D33">
        <f t="shared" si="0"/>
        <v>127313</v>
      </c>
      <c r="E33">
        <f t="shared" si="0"/>
        <v>48</v>
      </c>
      <c r="F33" t="str">
        <f t="shared" si="0"/>
        <v>Male</v>
      </c>
      <c r="K33">
        <v>1004</v>
      </c>
      <c r="L33" t="str">
        <v>Rakesh Sharma</v>
      </c>
      <c r="M33" t="str">
        <v>Sales</v>
      </c>
      <c r="N33">
        <v>84784</v>
      </c>
      <c r="O33">
        <v>59</v>
      </c>
      <c r="P33" t="str">
        <v>Male</v>
      </c>
    </row>
    <row r="34" spans="1:16" x14ac:dyDescent="0.3">
      <c r="A34">
        <v>1007</v>
      </c>
      <c r="B34" t="str">
        <f t="shared" si="1"/>
        <v>Bijendra Singh</v>
      </c>
      <c r="C34" t="str">
        <f t="shared" si="1"/>
        <v>Operations</v>
      </c>
      <c r="D34">
        <f t="shared" si="0"/>
        <v>31809</v>
      </c>
      <c r="E34">
        <f t="shared" si="0"/>
        <v>53</v>
      </c>
      <c r="F34" t="str">
        <f t="shared" si="0"/>
        <v>Female</v>
      </c>
      <c r="K34">
        <v>1005</v>
      </c>
      <c r="L34" t="str">
        <v>Shivanand Sahani</v>
      </c>
      <c r="M34" t="str">
        <v>Product Manager</v>
      </c>
      <c r="N34">
        <v>184551</v>
      </c>
      <c r="O34">
        <v>59</v>
      </c>
      <c r="P34" t="str">
        <v>Male</v>
      </c>
    </row>
    <row r="35" spans="1:16" x14ac:dyDescent="0.3">
      <c r="A35">
        <v>1008</v>
      </c>
      <c r="B35" t="str">
        <f t="shared" si="1"/>
        <v>Kranti Bheke</v>
      </c>
      <c r="C35" t="str">
        <f t="shared" si="1"/>
        <v>Marketing</v>
      </c>
      <c r="D35">
        <f t="shared" si="0"/>
        <v>39769</v>
      </c>
      <c r="E35">
        <f t="shared" si="0"/>
        <v>59</v>
      </c>
      <c r="F35" t="str">
        <f t="shared" si="0"/>
        <v>Female</v>
      </c>
      <c r="K35">
        <v>1006</v>
      </c>
      <c r="L35" t="str">
        <v>Kuntal Patra</v>
      </c>
      <c r="M35" t="str">
        <v>Data Scientist</v>
      </c>
      <c r="N35">
        <v>127313</v>
      </c>
      <c r="O35">
        <v>48</v>
      </c>
      <c r="P35" t="str">
        <v>Male</v>
      </c>
    </row>
    <row r="36" spans="1:16" x14ac:dyDescent="0.3">
      <c r="K36">
        <v>1007</v>
      </c>
      <c r="L36" t="str">
        <v>Bijendra Singh</v>
      </c>
      <c r="M36" t="str">
        <v>Operations</v>
      </c>
      <c r="N36">
        <v>31809</v>
      </c>
      <c r="O36">
        <v>53</v>
      </c>
      <c r="P36" t="str">
        <v>Female</v>
      </c>
    </row>
    <row r="37" spans="1:16" x14ac:dyDescent="0.3">
      <c r="K37">
        <v>1008</v>
      </c>
      <c r="L37" t="str">
        <v>Kranti Bheke</v>
      </c>
      <c r="M37" t="str">
        <v>Marketing</v>
      </c>
      <c r="N37">
        <v>39769</v>
      </c>
      <c r="O37">
        <v>59</v>
      </c>
      <c r="P37" t="str">
        <v>Female</v>
      </c>
    </row>
    <row r="38" spans="1:16" x14ac:dyDescent="0.3">
      <c r="K38">
        <v>1009</v>
      </c>
      <c r="L38" t="str">
        <v>Jagdeep Paward</v>
      </c>
      <c r="M38" t="str">
        <v>Finance</v>
      </c>
      <c r="N38">
        <v>75792</v>
      </c>
      <c r="O38">
        <v>26</v>
      </c>
      <c r="P38" t="str">
        <v>Female</v>
      </c>
    </row>
    <row r="39" spans="1:16" x14ac:dyDescent="0.3">
      <c r="K39">
        <v>1010</v>
      </c>
      <c r="L39" t="str">
        <v>Adhir Samal</v>
      </c>
      <c r="M39" t="str">
        <v>Sales</v>
      </c>
      <c r="N39">
        <v>148988</v>
      </c>
      <c r="O39">
        <v>58</v>
      </c>
      <c r="P39" t="str">
        <v>Male</v>
      </c>
    </row>
    <row r="40" spans="1:16" x14ac:dyDescent="0.3">
      <c r="K40">
        <v>1011</v>
      </c>
      <c r="L40" t="str">
        <v>Dannana Jhammi</v>
      </c>
      <c r="M40" t="str">
        <v>Sales</v>
      </c>
      <c r="N40">
        <v>98803</v>
      </c>
      <c r="O40">
        <v>44</v>
      </c>
      <c r="P40" t="str">
        <v>Female</v>
      </c>
    </row>
    <row r="41" spans="1:16" x14ac:dyDescent="0.3">
      <c r="K41">
        <v>1012</v>
      </c>
      <c r="L41" t="str">
        <v>Vipin Kumar</v>
      </c>
      <c r="M41" t="str">
        <v>Product Manager</v>
      </c>
      <c r="N41">
        <v>172266</v>
      </c>
      <c r="O41">
        <v>39</v>
      </c>
      <c r="P41" t="str">
        <v>Female</v>
      </c>
    </row>
    <row r="42" spans="1:16" x14ac:dyDescent="0.3">
      <c r="K42">
        <v>1013</v>
      </c>
      <c r="L42" t="str">
        <v>Ranjeet Kumar</v>
      </c>
      <c r="M42" t="str">
        <v>HR</v>
      </c>
      <c r="N42">
        <v>136087</v>
      </c>
      <c r="O42">
        <v>54</v>
      </c>
      <c r="P42" t="str">
        <v>Male</v>
      </c>
    </row>
    <row r="43" spans="1:16" x14ac:dyDescent="0.3">
      <c r="K43">
        <v>1014</v>
      </c>
      <c r="L43" t="str">
        <v>Sajal Singhal</v>
      </c>
      <c r="M43" t="str">
        <v>Finance</v>
      </c>
      <c r="N43">
        <v>30479</v>
      </c>
      <c r="O43">
        <v>34</v>
      </c>
      <c r="P43" t="str">
        <v>Female</v>
      </c>
    </row>
    <row r="44" spans="1:16" x14ac:dyDescent="0.3">
      <c r="K44">
        <v>1015</v>
      </c>
      <c r="L44" t="str">
        <v>Akhilesh Kumar</v>
      </c>
      <c r="M44" t="str">
        <v>Sales</v>
      </c>
      <c r="N44">
        <v>150145</v>
      </c>
      <c r="O44">
        <v>47</v>
      </c>
      <c r="P44" t="str">
        <v>Female</v>
      </c>
    </row>
    <row r="45" spans="1:16" x14ac:dyDescent="0.3">
      <c r="K45">
        <v>1016</v>
      </c>
      <c r="L45" t="str">
        <v>Suvankar Chakraborty</v>
      </c>
      <c r="M45" t="str">
        <v>Software Engineer</v>
      </c>
      <c r="N45">
        <v>158214</v>
      </c>
      <c r="O45">
        <v>35</v>
      </c>
      <c r="P45" t="str">
        <v>Female</v>
      </c>
    </row>
    <row r="46" spans="1:16" x14ac:dyDescent="0.3">
      <c r="K46">
        <v>1017</v>
      </c>
      <c r="L46" t="str">
        <v>Suvankar Adhikary</v>
      </c>
      <c r="M46" t="str">
        <v>Support</v>
      </c>
      <c r="N46">
        <v>121734</v>
      </c>
      <c r="O46">
        <v>27</v>
      </c>
      <c r="P46" t="str">
        <v>Female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Vlookup 1</vt:lpstr>
      <vt:lpstr>VLOOKUP 2</vt:lpstr>
      <vt:lpstr>Vlookup 3</vt:lpstr>
      <vt:lpstr>Vlookup 4</vt:lpstr>
      <vt:lpstr>Vlookup 5 Reverse Lookup</vt:lpstr>
      <vt:lpstr>Exam_Seat_No</vt:lpstr>
      <vt:lpstr>Incentive_Target</vt:lpstr>
      <vt:lpstr>Roll_Number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 kashyap</cp:lastModifiedBy>
  <cp:lastPrinted>2023-08-21T14:32:44Z</cp:lastPrinted>
  <dcterms:created xsi:type="dcterms:W3CDTF">2023-08-21T14:30:52Z</dcterms:created>
  <dcterms:modified xsi:type="dcterms:W3CDTF">2025-09-30T01:58:29Z</dcterms:modified>
</cp:coreProperties>
</file>