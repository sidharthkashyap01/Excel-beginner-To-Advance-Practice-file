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96" windowWidth="19092" windowHeight="10032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36" i="1"/>
  <c r="C36"/>
  <c r="C37"/>
  <c r="D37"/>
  <c r="E37"/>
  <c r="E36"/>
  <c r="D35"/>
  <c r="E35"/>
  <c r="C35"/>
  <c r="J33"/>
  <c r="I33"/>
  <c r="C30"/>
  <c r="C31"/>
  <c r="C32"/>
  <c r="C28"/>
  <c r="I24"/>
  <c r="J24"/>
  <c r="I23"/>
  <c r="J23"/>
  <c r="H23"/>
  <c r="H24"/>
  <c r="I22"/>
  <c r="J22"/>
  <c r="H22"/>
  <c r="H18"/>
  <c r="H19"/>
  <c r="H17"/>
  <c r="H15"/>
  <c r="D24"/>
  <c r="E24"/>
  <c r="D23"/>
  <c r="E23"/>
  <c r="C23"/>
  <c r="C24"/>
  <c r="C22"/>
  <c r="D22"/>
  <c r="E22"/>
  <c r="E17"/>
</calcChain>
</file>

<file path=xl/sharedStrings.xml><?xml version="1.0" encoding="utf-8"?>
<sst xmlns="http://schemas.openxmlformats.org/spreadsheetml/2006/main" count="78" uniqueCount="24">
  <si>
    <t>Roll NO</t>
  </si>
  <si>
    <t>Class</t>
  </si>
  <si>
    <t>City</t>
  </si>
  <si>
    <t>Marks</t>
  </si>
  <si>
    <t>BBA</t>
  </si>
  <si>
    <t>MEERUT</t>
  </si>
  <si>
    <t>B.TECH</t>
  </si>
  <si>
    <t>OTHER</t>
  </si>
  <si>
    <t>BCA</t>
  </si>
  <si>
    <t>KANPUR</t>
  </si>
  <si>
    <t>SUMIF</t>
  </si>
  <si>
    <t>&gt;=60</t>
  </si>
  <si>
    <t>FLOOR</t>
  </si>
  <si>
    <t>CEILING</t>
  </si>
  <si>
    <t>ROUNDDOWN</t>
  </si>
  <si>
    <t>ROUNDUP</t>
  </si>
  <si>
    <t>ROUND</t>
  </si>
  <si>
    <t>MARKS</t>
  </si>
  <si>
    <t>CLASS</t>
  </si>
  <si>
    <t xml:space="preserve">ONLY COUNT STUDENT WHO HAVE 60 AND MORE THAN </t>
  </si>
  <si>
    <t>IFERROR</t>
  </si>
  <si>
    <t>AVERAGEIF,AVERAGEIFS, IFERROR</t>
  </si>
  <si>
    <t>SUMIFS</t>
  </si>
  <si>
    <t>COUNTIFS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</si>
</sst>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0" xfId="0" applyFill="1" applyBorder="1"/>
    <xf numFmtId="0" fontId="0" fillId="3" borderId="10" xfId="0" applyFill="1" applyBorder="1"/>
    <xf numFmtId="0" fontId="0" fillId="4" borderId="10" xfId="0" applyFill="1" applyBorder="1"/>
    <xf numFmtId="0" fontId="0" fillId="0" borderId="10" xfId="0" applyBorder="1"/>
    <xf numFmtId="0" fontId="1" fillId="2" borderId="10" xfId="0" applyFont="1" applyFill="1" applyBorder="1"/>
    <xf numFmtId="0" fontId="0" fillId="4" borderId="0" xfId="0" applyFill="1"/>
    <xf numFmtId="0" fontId="1" fillId="2" borderId="4" xfId="0" applyFont="1" applyFill="1" applyBorder="1"/>
    <xf numFmtId="0" fontId="1" fillId="2" borderId="0" xfId="0" applyFont="1" applyFill="1" applyBorder="1"/>
    <xf numFmtId="0" fontId="1" fillId="2" borderId="5" xfId="0" applyFont="1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topLeftCell="A7" workbookViewId="0">
      <selection activeCell="H9" sqref="H9"/>
    </sheetView>
  </sheetViews>
  <sheetFormatPr defaultRowHeight="14.4"/>
  <cols>
    <col min="4" max="4" width="12.5546875" customWidth="1"/>
  </cols>
  <sheetData>
    <row r="1" spans="1:10" ht="15" thickBot="1">
      <c r="A1" s="11" t="s">
        <v>0</v>
      </c>
      <c r="B1" s="12" t="s">
        <v>1</v>
      </c>
      <c r="C1" s="13" t="s">
        <v>2</v>
      </c>
      <c r="D1" s="14" t="s">
        <v>3</v>
      </c>
      <c r="E1" s="1"/>
      <c r="F1" s="1"/>
    </row>
    <row r="2" spans="1:10">
      <c r="A2" s="5">
        <v>101</v>
      </c>
      <c r="B2" s="12" t="s">
        <v>4</v>
      </c>
      <c r="C2" s="13" t="s">
        <v>5</v>
      </c>
      <c r="D2" s="14">
        <v>80</v>
      </c>
      <c r="E2" s="1"/>
      <c r="F2" s="1"/>
    </row>
    <row r="3" spans="1:10">
      <c r="A3" s="5">
        <v>102</v>
      </c>
      <c r="B3" s="12" t="s">
        <v>6</v>
      </c>
      <c r="C3" s="13" t="s">
        <v>5</v>
      </c>
      <c r="D3" s="14">
        <v>60</v>
      </c>
      <c r="E3" s="1"/>
      <c r="F3" s="1">
        <v>12</v>
      </c>
    </row>
    <row r="4" spans="1:10">
      <c r="A4" s="5">
        <v>103</v>
      </c>
      <c r="B4" s="12" t="s">
        <v>4</v>
      </c>
      <c r="C4" s="13" t="s">
        <v>7</v>
      </c>
      <c r="D4" s="14">
        <v>45</v>
      </c>
      <c r="E4" s="1"/>
      <c r="F4" s="1">
        <v>0</v>
      </c>
    </row>
    <row r="5" spans="1:10">
      <c r="A5" s="5">
        <v>104</v>
      </c>
      <c r="B5" s="12" t="s">
        <v>6</v>
      </c>
      <c r="C5" s="13" t="s">
        <v>7</v>
      </c>
      <c r="D5" s="14">
        <v>78</v>
      </c>
      <c r="E5" s="1"/>
      <c r="F5" s="1">
        <v>16</v>
      </c>
    </row>
    <row r="6" spans="1:10">
      <c r="A6" s="5">
        <v>105</v>
      </c>
      <c r="B6" s="12" t="s">
        <v>6</v>
      </c>
      <c r="C6" s="13" t="s">
        <v>5</v>
      </c>
      <c r="D6" s="14">
        <v>95</v>
      </c>
      <c r="E6" s="1"/>
      <c r="F6" s="1">
        <v>8.9442719099991592</v>
      </c>
    </row>
    <row r="7" spans="1:10">
      <c r="A7" s="5">
        <v>106</v>
      </c>
      <c r="B7" s="12" t="s">
        <v>4</v>
      </c>
      <c r="C7" s="13" t="s">
        <v>7</v>
      </c>
      <c r="D7" s="14">
        <v>62</v>
      </c>
      <c r="E7" s="1"/>
      <c r="F7" s="1">
        <v>126</v>
      </c>
      <c r="H7" s="1" t="s">
        <v>16</v>
      </c>
    </row>
    <row r="8" spans="1:10">
      <c r="A8" s="5">
        <v>107</v>
      </c>
      <c r="B8" s="12" t="s">
        <v>4</v>
      </c>
      <c r="C8" s="13" t="s">
        <v>7</v>
      </c>
      <c r="D8" s="14">
        <v>78</v>
      </c>
      <c r="E8" s="1"/>
      <c r="F8" s="1">
        <v>182.13</v>
      </c>
      <c r="H8" s="1" t="s">
        <v>15</v>
      </c>
    </row>
    <row r="9" spans="1:10">
      <c r="A9" s="5">
        <v>108</v>
      </c>
      <c r="B9" s="12" t="s">
        <v>8</v>
      </c>
      <c r="C9" s="13" t="s">
        <v>5</v>
      </c>
      <c r="D9" s="14">
        <v>52</v>
      </c>
      <c r="E9" s="1"/>
      <c r="F9" s="1">
        <v>7456460.2199999997</v>
      </c>
      <c r="H9" s="1" t="s">
        <v>14</v>
      </c>
    </row>
    <row r="10" spans="1:10">
      <c r="A10" s="5">
        <v>109</v>
      </c>
      <c r="B10" s="12" t="s">
        <v>8</v>
      </c>
      <c r="C10" s="13" t="s">
        <v>5</v>
      </c>
      <c r="D10" s="14">
        <v>65</v>
      </c>
      <c r="E10" s="1"/>
      <c r="F10" s="1">
        <v>125</v>
      </c>
      <c r="H10" s="1" t="s">
        <v>13</v>
      </c>
    </row>
    <row r="11" spans="1:10">
      <c r="A11" s="5">
        <v>110</v>
      </c>
      <c r="B11" s="12" t="s">
        <v>4</v>
      </c>
      <c r="C11" s="13" t="s">
        <v>7</v>
      </c>
      <c r="D11" s="14">
        <v>78</v>
      </c>
      <c r="E11" s="1"/>
      <c r="F11" s="1">
        <v>84</v>
      </c>
    </row>
    <row r="12" spans="1:10">
      <c r="A12" s="5">
        <v>111</v>
      </c>
      <c r="B12" s="12" t="s">
        <v>8</v>
      </c>
      <c r="C12" s="13" t="s">
        <v>9</v>
      </c>
      <c r="D12" s="14">
        <v>77</v>
      </c>
      <c r="E12" s="1"/>
      <c r="F12" s="1">
        <v>120</v>
      </c>
      <c r="H12" s="1" t="s">
        <v>12</v>
      </c>
    </row>
    <row r="13" spans="1:10" ht="15" thickBot="1">
      <c r="A13" s="8">
        <v>112</v>
      </c>
      <c r="B13" s="12" t="s">
        <v>8</v>
      </c>
      <c r="C13" s="13" t="s">
        <v>9</v>
      </c>
      <c r="D13" s="14">
        <v>65</v>
      </c>
      <c r="E13" s="1"/>
      <c r="F13" s="1"/>
    </row>
    <row r="14" spans="1:10">
      <c r="G14" s="22" t="s">
        <v>23</v>
      </c>
      <c r="H14" s="3"/>
      <c r="I14" s="3"/>
      <c r="J14" s="4"/>
    </row>
    <row r="15" spans="1:10">
      <c r="A15" s="1"/>
      <c r="B15" s="1" t="s">
        <v>10</v>
      </c>
      <c r="C15" s="1" t="s">
        <v>11</v>
      </c>
      <c r="D15" s="1">
        <v>738</v>
      </c>
      <c r="E15" s="1"/>
      <c r="F15" s="1"/>
      <c r="G15" s="5" t="s">
        <v>11</v>
      </c>
      <c r="H15" s="6">
        <f>COUNTIF(D2:D13,"&gt;=60")</f>
        <v>10</v>
      </c>
      <c r="I15" s="6"/>
      <c r="J15" s="7"/>
    </row>
    <row r="16" spans="1:10">
      <c r="A16" s="1"/>
      <c r="B16" s="2" t="s">
        <v>1</v>
      </c>
      <c r="C16" s="2" t="s">
        <v>17</v>
      </c>
      <c r="D16" s="1"/>
      <c r="E16" s="1"/>
      <c r="F16" s="1"/>
      <c r="G16" s="18" t="s">
        <v>1</v>
      </c>
      <c r="H16" s="19" t="s">
        <v>17</v>
      </c>
      <c r="I16" s="6"/>
      <c r="J16" s="7"/>
    </row>
    <row r="17" spans="2:10">
      <c r="B17" s="1" t="s">
        <v>4</v>
      </c>
      <c r="C17" s="1">
        <v>343</v>
      </c>
      <c r="E17">
        <f>SUMIFS(D2:D13,B2:B13,B17)</f>
        <v>343</v>
      </c>
      <c r="G17" s="5" t="s">
        <v>4</v>
      </c>
      <c r="H17" s="6">
        <f>COUNTIF($B$1:$B$13,$G17)</f>
        <v>5</v>
      </c>
      <c r="I17" s="6"/>
      <c r="J17" s="7"/>
    </row>
    <row r="18" spans="2:10">
      <c r="B18" s="1" t="s">
        <v>6</v>
      </c>
      <c r="C18" s="1">
        <v>202</v>
      </c>
      <c r="G18" s="5" t="s">
        <v>6</v>
      </c>
      <c r="H18" s="6">
        <f t="shared" ref="H18:H19" si="0">COUNTIF($B$1:$B$13,$G18)</f>
        <v>3</v>
      </c>
      <c r="I18" s="6"/>
      <c r="J18" s="7"/>
    </row>
    <row r="19" spans="2:10" ht="15" thickBot="1">
      <c r="B19" s="1" t="s">
        <v>8</v>
      </c>
      <c r="C19" s="1">
        <v>893</v>
      </c>
      <c r="G19" s="5" t="s">
        <v>8</v>
      </c>
      <c r="H19" s="6">
        <f t="shared" si="0"/>
        <v>4</v>
      </c>
      <c r="I19" s="6"/>
      <c r="J19" s="7"/>
    </row>
    <row r="20" spans="2:10">
      <c r="B20" s="21" t="s">
        <v>22</v>
      </c>
      <c r="C20" s="3"/>
      <c r="D20" s="3"/>
      <c r="E20" s="4"/>
      <c r="G20" s="5" t="s">
        <v>19</v>
      </c>
      <c r="H20" s="6"/>
      <c r="I20" s="6"/>
      <c r="J20" s="7"/>
    </row>
    <row r="21" spans="2:10">
      <c r="B21" s="18" t="s">
        <v>18</v>
      </c>
      <c r="C21" s="19" t="s">
        <v>5</v>
      </c>
      <c r="D21" s="19" t="s">
        <v>9</v>
      </c>
      <c r="E21" s="20" t="s">
        <v>7</v>
      </c>
      <c r="G21" s="18" t="s">
        <v>18</v>
      </c>
      <c r="H21" s="19" t="s">
        <v>5</v>
      </c>
      <c r="I21" s="19" t="s">
        <v>9</v>
      </c>
      <c r="J21" s="20" t="s">
        <v>7</v>
      </c>
    </row>
    <row r="22" spans="2:10">
      <c r="B22" s="5" t="s">
        <v>4</v>
      </c>
      <c r="C22" s="6">
        <f>SUMIFS($D$2:$D$13,$B$2:$B$13,$B22,$C$2:$C$13,C$21)</f>
        <v>80</v>
      </c>
      <c r="D22" s="6">
        <f t="shared" ref="D22:E22" si="1">SUMIFS($D$2:$D$13,$B$2:$B$13,$B$22,$C$2:$C$13,D$21)</f>
        <v>0</v>
      </c>
      <c r="E22" s="7">
        <f t="shared" si="1"/>
        <v>263</v>
      </c>
      <c r="G22" s="5" t="s">
        <v>4</v>
      </c>
      <c r="H22" s="6">
        <f>COUNTIFS($C$2:$C$13,H$21,$B$2:$B$13,$G22)</f>
        <v>1</v>
      </c>
      <c r="I22" s="6">
        <f t="shared" ref="I22:J22" si="2">COUNTIFS($C$2:$C$13,I$21,$B$2:$B$13,$G22)</f>
        <v>0</v>
      </c>
      <c r="J22" s="7">
        <f t="shared" si="2"/>
        <v>4</v>
      </c>
    </row>
    <row r="23" spans="2:10">
      <c r="B23" s="5" t="s">
        <v>6</v>
      </c>
      <c r="C23" s="6">
        <f t="shared" ref="C23:E24" si="3">SUMIFS($D$2:$D$13,$B$2:$B$13,$B23,$C$2:$C$13,C$21)</f>
        <v>155</v>
      </c>
      <c r="D23" s="6">
        <f t="shared" si="3"/>
        <v>0</v>
      </c>
      <c r="E23" s="7">
        <f t="shared" si="3"/>
        <v>78</v>
      </c>
      <c r="G23" s="5" t="s">
        <v>6</v>
      </c>
      <c r="H23" s="6">
        <f t="shared" ref="H23:J24" si="4">COUNTIFS($C$2:$C$13,H$21,$B$2:$B$13,$G23)</f>
        <v>2</v>
      </c>
      <c r="I23" s="6">
        <f t="shared" si="4"/>
        <v>0</v>
      </c>
      <c r="J23" s="7">
        <f t="shared" si="4"/>
        <v>1</v>
      </c>
    </row>
    <row r="24" spans="2:10" ht="15" thickBot="1">
      <c r="B24" s="8" t="s">
        <v>8</v>
      </c>
      <c r="C24" s="9">
        <f t="shared" si="3"/>
        <v>117</v>
      </c>
      <c r="D24" s="9">
        <f t="shared" si="3"/>
        <v>142</v>
      </c>
      <c r="E24" s="10">
        <f t="shared" si="3"/>
        <v>0</v>
      </c>
      <c r="G24" s="8" t="s">
        <v>8</v>
      </c>
      <c r="H24" s="9">
        <f t="shared" si="4"/>
        <v>2</v>
      </c>
      <c r="I24" s="9">
        <f t="shared" si="4"/>
        <v>2</v>
      </c>
      <c r="J24" s="10">
        <f t="shared" si="4"/>
        <v>0</v>
      </c>
    </row>
    <row r="26" spans="2:10">
      <c r="B26" s="1"/>
      <c r="C26" s="1"/>
      <c r="D26" s="1"/>
      <c r="E26" s="1"/>
    </row>
    <row r="27" spans="2:10">
      <c r="B27" s="17" t="s">
        <v>21</v>
      </c>
      <c r="C27" s="17"/>
      <c r="D27" s="17"/>
      <c r="E27" s="17"/>
    </row>
    <row r="28" spans="2:10">
      <c r="B28" s="15" t="s">
        <v>11</v>
      </c>
      <c r="C28" s="15">
        <f>AVERAGEIF(D2:D13,"&gt;=60")</f>
        <v>73.8</v>
      </c>
      <c r="D28" s="15"/>
      <c r="E28" s="15"/>
    </row>
    <row r="29" spans="2:10">
      <c r="B29" s="16" t="s">
        <v>1</v>
      </c>
      <c r="C29" s="16" t="s">
        <v>17</v>
      </c>
      <c r="D29" s="15"/>
      <c r="E29" s="15"/>
    </row>
    <row r="30" spans="2:10">
      <c r="B30" s="14" t="s">
        <v>4</v>
      </c>
      <c r="C30" s="14">
        <f>AVERAGEIF($B$2:$B$13,$B30,$D$2:$D$13)</f>
        <v>68.599999999999994</v>
      </c>
      <c r="D30" s="15"/>
      <c r="E30" s="15"/>
    </row>
    <row r="31" spans="2:10">
      <c r="B31" s="14" t="s">
        <v>6</v>
      </c>
      <c r="C31" s="14">
        <f t="shared" ref="C31:C32" si="5">AVERAGEIF($B$2:$B$13,$B31,$D$2:$D$13)</f>
        <v>77.666666666666671</v>
      </c>
      <c r="D31" s="15"/>
      <c r="E31" s="15"/>
    </row>
    <row r="32" spans="2:10">
      <c r="B32" s="14" t="s">
        <v>8</v>
      </c>
      <c r="C32" s="14">
        <f t="shared" si="5"/>
        <v>64.75</v>
      </c>
      <c r="D32" s="15"/>
      <c r="E32" s="15"/>
      <c r="I32" s="1" t="s">
        <v>20</v>
      </c>
    </row>
    <row r="33" spans="2:10">
      <c r="B33" s="15"/>
      <c r="C33" s="15"/>
      <c r="D33" s="15"/>
      <c r="E33" s="15"/>
      <c r="I33">
        <f>IFERROR(0,10/0)</f>
        <v>0</v>
      </c>
      <c r="J33">
        <f>IFERROR(50,50/10)</f>
        <v>50</v>
      </c>
    </row>
    <row r="34" spans="2:10">
      <c r="B34" s="16" t="s">
        <v>18</v>
      </c>
      <c r="C34" s="16" t="s">
        <v>5</v>
      </c>
      <c r="D34" s="16" t="s">
        <v>9</v>
      </c>
      <c r="E34" s="16" t="s">
        <v>7</v>
      </c>
    </row>
    <row r="35" spans="2:10">
      <c r="B35" s="14" t="s">
        <v>4</v>
      </c>
      <c r="C35" s="14">
        <f>IFERROR(AVERAGEIFS($D$2:$D$13,$C$2:$C$13,C$34,$B$2:$B$13,$B35),0)</f>
        <v>80</v>
      </c>
      <c r="D35" s="14">
        <f>IFERROR(AVERAGEIFS($D$2:$D$13,$C$2:$C$13,D$34,$B$2:$B$13,$B35),0)</f>
        <v>0</v>
      </c>
      <c r="E35" s="14">
        <f>IFERROR(AVERAGEIFS($D$2:$D$13,$C$2:$C$13,E$34,$B$2:$B$13,$B35),0)</f>
        <v>65.75</v>
      </c>
    </row>
    <row r="36" spans="2:10">
      <c r="B36" s="14" t="s">
        <v>6</v>
      </c>
      <c r="C36" s="14">
        <f>IFERROR(AVERAGEIFS($D$2:$D$13,$C$2:$C$13,C$34,$B$2:$B$13,$B36),0)</f>
        <v>77.5</v>
      </c>
      <c r="D36" s="14">
        <f>IFERROR(AVERAGEIFS($D$2:$D$13,$C$2:$C$13,D$34,$B$2:$B$13,$B36),0)</f>
        <v>0</v>
      </c>
      <c r="E36" s="14">
        <f>IFERROR(AVERAGEIFS($D$2:$D$13,$C$2:$C$13,E$34,$B$2:$B$13,$B36),0)</f>
        <v>78</v>
      </c>
    </row>
    <row r="37" spans="2:10">
      <c r="B37" s="14" t="s">
        <v>8</v>
      </c>
      <c r="C37" s="14">
        <f>IFERROR(AVERAGEIFS($D$2:$D$13,$C$2:$C$13,C$34,$B$2:$B$13,$B37),0)</f>
        <v>58.5</v>
      </c>
      <c r="D37" s="14">
        <f>IFERROR(AVERAGEIFS($D$2:$D$13,$C$2:$C$13,D$34,$B$2:$B$13,$B37),0)</f>
        <v>71</v>
      </c>
      <c r="E37" s="14">
        <f>IFERROR(AVERAGEIFS($D$2:$D$13,$C$2:$C$13,E$34,$B$2:$B$13,$B37),0)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KASHYAP</dc:creator>
  <cp:lastModifiedBy>RAJ KASHYAP</cp:lastModifiedBy>
  <dcterms:created xsi:type="dcterms:W3CDTF">2025-08-29T04:15:53Z</dcterms:created>
  <dcterms:modified xsi:type="dcterms:W3CDTF">2025-08-30T06:41:30Z</dcterms:modified>
</cp:coreProperties>
</file>